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PE_SOGI\result\"/>
    </mc:Choice>
  </mc:AlternateContent>
  <xr:revisionPtr revIDLastSave="0" documentId="13_ncr:1_{7C710630-90C8-45FA-80BF-54A746B7DB69}" xr6:coauthVersionLast="47" xr6:coauthVersionMax="47" xr10:uidLastSave="{00000000-0000-0000-0000-000000000000}"/>
  <bookViews>
    <workbookView xWindow="-28920" yWindow="8490" windowWidth="29040" windowHeight="15720" xr2:uid="{CF3FB508-F721-4546-A4B9-02576A225E3C}"/>
  </bookViews>
  <sheets>
    <sheet name="Summary" sheetId="7" r:id="rId1"/>
    <sheet name="dataset_summary" sheetId="9" r:id="rId2"/>
    <sheet name="VaR_result" sheetId="18" r:id="rId3"/>
    <sheet name="statistic" sheetId="10" r:id="rId4"/>
    <sheet name="best_curves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8" l="1"/>
  <c r="K10" i="18"/>
  <c r="K16" i="18"/>
  <c r="L16" i="18" s="1"/>
  <c r="K15" i="18"/>
  <c r="L15" i="18" s="1"/>
  <c r="K14" i="18"/>
  <c r="L14" i="18" s="1"/>
  <c r="K13" i="18"/>
  <c r="L13" i="18" s="1"/>
  <c r="L12" i="18"/>
  <c r="K12" i="18"/>
  <c r="K11" i="18"/>
  <c r="L11" i="18" s="1"/>
  <c r="K9" i="18"/>
  <c r="L9" i="18" s="1"/>
  <c r="K8" i="18"/>
  <c r="L8" i="18" s="1"/>
  <c r="K7" i="18"/>
  <c r="L7" i="18" s="1"/>
  <c r="K5" i="18"/>
  <c r="L5" i="18" s="1"/>
  <c r="K6" i="18"/>
  <c r="L6" i="18" s="1"/>
  <c r="K4" i="18"/>
  <c r="L4" i="18" s="1"/>
  <c r="G21" i="7" l="1"/>
  <c r="G24" i="7"/>
  <c r="E17" i="7"/>
  <c r="C22" i="7"/>
  <c r="C16" i="7"/>
  <c r="I24" i="7" l="1"/>
  <c r="G16" i="7"/>
  <c r="C17" i="7"/>
  <c r="E18" i="7"/>
  <c r="E19" i="7"/>
  <c r="G20" i="7"/>
  <c r="E20" i="7"/>
  <c r="I17" i="7"/>
  <c r="E23" i="7"/>
  <c r="I18" i="7"/>
  <c r="E21" i="7"/>
  <c r="C19" i="7"/>
  <c r="E22" i="7"/>
  <c r="C23" i="7"/>
  <c r="E24" i="7"/>
  <c r="I23" i="7"/>
  <c r="G22" i="7"/>
  <c r="I20" i="7"/>
  <c r="C21" i="7"/>
  <c r="G19" i="7"/>
  <c r="I21" i="7"/>
  <c r="C18" i="7"/>
  <c r="G17" i="7"/>
  <c r="C20" i="7"/>
  <c r="G18" i="7"/>
  <c r="C24" i="7"/>
  <c r="G23" i="7"/>
  <c r="I16" i="7"/>
  <c r="E16" i="7"/>
  <c r="I19" i="7"/>
  <c r="I22" i="7"/>
  <c r="G30" i="7"/>
  <c r="E33" i="7"/>
  <c r="I10" i="7"/>
  <c r="J16" i="7" l="1"/>
  <c r="E30" i="7"/>
  <c r="C32" i="7"/>
  <c r="G31" i="7"/>
  <c r="I34" i="7"/>
  <c r="I29" i="7"/>
  <c r="J19" i="7"/>
  <c r="J24" i="7"/>
  <c r="J20" i="7"/>
  <c r="J22" i="7"/>
  <c r="J23" i="7"/>
  <c r="J17" i="7"/>
  <c r="J21" i="7"/>
  <c r="C44" i="7"/>
  <c r="I32" i="7"/>
  <c r="E34" i="7"/>
  <c r="E32" i="7"/>
  <c r="J18" i="7"/>
  <c r="C29" i="7"/>
  <c r="I35" i="7"/>
  <c r="I31" i="7"/>
  <c r="I28" i="7"/>
  <c r="G35" i="7"/>
  <c r="G29" i="7"/>
  <c r="C36" i="7"/>
  <c r="E35" i="7"/>
  <c r="E36" i="7"/>
  <c r="C35" i="7"/>
  <c r="C31" i="7"/>
  <c r="E43" i="7"/>
  <c r="I36" i="7"/>
  <c r="G34" i="7"/>
  <c r="G33" i="7"/>
  <c r="E12" i="7"/>
  <c r="E42" i="7"/>
  <c r="C34" i="7"/>
  <c r="E28" i="7"/>
  <c r="C45" i="7"/>
  <c r="G32" i="7"/>
  <c r="E29" i="7"/>
  <c r="E45" i="7"/>
  <c r="G36" i="7"/>
  <c r="C42" i="7"/>
  <c r="G48" i="7"/>
  <c r="I48" i="7"/>
  <c r="C33" i="7"/>
  <c r="E31" i="7"/>
  <c r="I30" i="7"/>
  <c r="G42" i="7"/>
  <c r="C48" i="7"/>
  <c r="I44" i="7"/>
  <c r="E8" i="7"/>
  <c r="C43" i="7"/>
  <c r="C28" i="7"/>
  <c r="I33" i="7"/>
  <c r="E40" i="7"/>
  <c r="G45" i="7"/>
  <c r="I46" i="7"/>
  <c r="C30" i="7"/>
  <c r="G28" i="7"/>
  <c r="G47" i="7"/>
  <c r="I43" i="7"/>
  <c r="I47" i="7"/>
  <c r="C6" i="7"/>
  <c r="E9" i="7"/>
  <c r="I6" i="7"/>
  <c r="I5" i="7"/>
  <c r="I7" i="7"/>
  <c r="I8" i="7"/>
  <c r="I9" i="7"/>
  <c r="I11" i="7"/>
  <c r="I12" i="7"/>
  <c r="G46" i="7"/>
  <c r="E41" i="7"/>
  <c r="I41" i="7"/>
  <c r="E44" i="7"/>
  <c r="I42" i="7"/>
  <c r="I45" i="7"/>
  <c r="G40" i="7"/>
  <c r="E46" i="7"/>
  <c r="C40" i="7"/>
  <c r="G41" i="7"/>
  <c r="E48" i="7"/>
  <c r="C41" i="7"/>
  <c r="G43" i="7"/>
  <c r="I40" i="7"/>
  <c r="E47" i="7"/>
  <c r="C46" i="7"/>
  <c r="G44" i="7"/>
  <c r="C47" i="7"/>
  <c r="C8" i="7"/>
  <c r="E4" i="7"/>
  <c r="E6" i="7"/>
  <c r="E7" i="7"/>
  <c r="I4" i="7"/>
  <c r="E10" i="7"/>
  <c r="E5" i="7"/>
  <c r="E11" i="7"/>
  <c r="C9" i="7"/>
  <c r="C10" i="7"/>
  <c r="C11" i="7"/>
  <c r="C12" i="7"/>
  <c r="C5" i="7"/>
  <c r="C7" i="7"/>
  <c r="G5" i="7"/>
  <c r="G4" i="7"/>
  <c r="G6" i="7"/>
  <c r="G8" i="7"/>
  <c r="G7" i="7"/>
  <c r="G9" i="7"/>
  <c r="G10" i="7"/>
  <c r="G11" i="7"/>
  <c r="G12" i="7"/>
  <c r="C4" i="7"/>
  <c r="J30" i="7" l="1"/>
  <c r="J44" i="7"/>
  <c r="J35" i="7"/>
  <c r="J45" i="7"/>
  <c r="J33" i="7"/>
  <c r="J36" i="7"/>
  <c r="J29" i="7"/>
  <c r="J32" i="7"/>
  <c r="J28" i="7"/>
  <c r="J34" i="7"/>
  <c r="J42" i="7"/>
  <c r="J9" i="7"/>
  <c r="J31" i="7"/>
  <c r="J47" i="7"/>
  <c r="J43" i="7"/>
  <c r="J48" i="7"/>
  <c r="J40" i="7"/>
  <c r="J8" i="7"/>
  <c r="J5" i="7"/>
  <c r="J6" i="7"/>
  <c r="J46" i="7"/>
  <c r="J41" i="7"/>
  <c r="J4" i="7"/>
  <c r="J12" i="7"/>
  <c r="J10" i="7"/>
  <c r="J7" i="7"/>
  <c r="J11" i="7"/>
</calcChain>
</file>

<file path=xl/sharedStrings.xml><?xml version="1.0" encoding="utf-8"?>
<sst xmlns="http://schemas.openxmlformats.org/spreadsheetml/2006/main" count="212" uniqueCount="62">
  <si>
    <t>Model</t>
  </si>
  <si>
    <t>MAPE</t>
  </si>
  <si>
    <t>SMAPE</t>
  </si>
  <si>
    <t>MASE</t>
  </si>
  <si>
    <t>MARRE</t>
  </si>
  <si>
    <t>N-HiTS</t>
  </si>
  <si>
    <t>Transformer</t>
  </si>
  <si>
    <t>DLinear</t>
  </si>
  <si>
    <t>TCN</t>
  </si>
  <si>
    <t>TSMixer</t>
  </si>
  <si>
    <t>RNN</t>
  </si>
  <si>
    <t>ARIMA</t>
  </si>
  <si>
    <t>USA</t>
  </si>
  <si>
    <t>CHI</t>
  </si>
  <si>
    <t>dataset</t>
  </si>
  <si>
    <t>usa</t>
  </si>
  <si>
    <t>chi</t>
  </si>
  <si>
    <t>Shapiro-Wilk</t>
  </si>
  <si>
    <t>Levene</t>
  </si>
  <si>
    <t>Friedman</t>
  </si>
  <si>
    <t>Statistic</t>
  </si>
  <si>
    <t>P-Value</t>
  </si>
  <si>
    <t>China</t>
  </si>
  <si>
    <t>Result</t>
  </si>
  <si>
    <t>Non-normal, non-homogeneous distribution; models differ significantly.</t>
  </si>
  <si>
    <t>E. Smoot.</t>
  </si>
  <si>
    <t>Linear R.</t>
  </si>
  <si>
    <t>Dataset</t>
  </si>
  <si>
    <t>eGARCH</t>
  </si>
  <si>
    <t>GER</t>
  </si>
  <si>
    <t>TUR</t>
  </si>
  <si>
    <t>ger</t>
  </si>
  <si>
    <t>tur</t>
  </si>
  <si>
    <t>date</t>
  </si>
  <si>
    <t>Germany</t>
  </si>
  <si>
    <t>Türkiye</t>
  </si>
  <si>
    <t>Score</t>
  </si>
  <si>
    <t xml:space="preserve">eGARCH </t>
  </si>
  <si>
    <t>Exceptions</t>
  </si>
  <si>
    <t>Kupiec</t>
  </si>
  <si>
    <t>VaRmodel</t>
  </si>
  <si>
    <t>VaRvalue</t>
  </si>
  <si>
    <t>ES(VaR)</t>
  </si>
  <si>
    <t>ES/VaR</t>
  </si>
  <si>
    <t>Historical</t>
  </si>
  <si>
    <t>FRI Final</t>
  </si>
  <si>
    <t>Accuracy</t>
  </si>
  <si>
    <t>Risk</t>
  </si>
  <si>
    <t>chi_dlinear_pred</t>
  </si>
  <si>
    <t>chi_dlinear_error</t>
  </si>
  <si>
    <t>chi_dlinear_smape</t>
  </si>
  <si>
    <t>usa_nhits_pred</t>
  </si>
  <si>
    <t>usa_nhits_error</t>
  </si>
  <si>
    <t>usa_nhits_smape</t>
  </si>
  <si>
    <t>ger_nhits_pred</t>
  </si>
  <si>
    <t>ger_nhits_error</t>
  </si>
  <si>
    <t>ger_nhits_smape</t>
  </si>
  <si>
    <t>tur_dlinear_pred</t>
  </si>
  <si>
    <t>tur_dlinear_error</t>
  </si>
  <si>
    <t>tur_dlinear_smape</t>
  </si>
  <si>
    <t>Linear Regression</t>
  </si>
  <si>
    <t>Exponential Smoothing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</si>
</sst>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11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2" fillId="0" borderId="8" xfId="0" applyFont="1" applyBorder="1"/>
    <xf numFmtId="164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0" fillId="0" borderId="4" xfId="0" applyBorder="1"/>
    <xf numFmtId="164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4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1" fontId="1" fillId="0" borderId="1" xfId="0" applyNumberFormat="1" applyFont="1" applyFill="1" applyBorder="1" applyAlignment="1">
      <alignment horizontal="center" vertical="top"/>
    </xf>
    <xf numFmtId="0" fontId="0" fillId="0" borderId="1" xfId="0" applyFill="1" applyBorder="1"/>
    <xf numFmtId="164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0" xfId="0" applyFill="1"/>
    <xf numFmtId="0" fontId="0" fillId="0" borderId="8" xfId="0" applyFill="1" applyBorder="1"/>
    <xf numFmtId="164" fontId="0" fillId="0" borderId="0" xfId="0" applyNumberFormat="1" applyFill="1" applyAlignment="1">
      <alignment horizontal="center"/>
    </xf>
    <xf numFmtId="0" fontId="0" fillId="0" borderId="9" xfId="0" applyFill="1" applyBorder="1" applyAlignment="1">
      <alignment horizontal="center"/>
    </xf>
    <xf numFmtId="164" fontId="0" fillId="0" borderId="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5960-2E87-4012-BCFE-6E6485F1947B}">
  <dimension ref="A2:J48"/>
  <sheetViews>
    <sheetView tabSelected="1" workbookViewId="0">
      <selection activeCell="A25" sqref="A25"/>
    </sheetView>
  </sheetViews>
  <sheetFormatPr defaultRowHeight="14.5" x14ac:dyDescent="0.35"/>
  <cols>
    <col min="1" max="1" width="24" style="59" customWidth="1"/>
    <col min="2" max="2" width="11" style="52" customWidth="1"/>
    <col min="3" max="3" width="8.453125" style="53" customWidth="1"/>
    <col min="4" max="4" width="11" style="52" customWidth="1"/>
    <col min="5" max="5" width="8.453125" style="53" customWidth="1"/>
    <col min="6" max="6" width="11" style="52" customWidth="1"/>
    <col min="7" max="7" width="8.453125" style="53" customWidth="1"/>
    <col min="8" max="8" width="11" style="52" customWidth="1"/>
    <col min="9" max="10" width="8.453125" style="53" customWidth="1"/>
  </cols>
  <sheetData>
    <row r="2" spans="1:10" x14ac:dyDescent="0.35">
      <c r="A2" s="51" t="s">
        <v>13</v>
      </c>
    </row>
    <row r="3" spans="1:10" x14ac:dyDescent="0.35">
      <c r="A3" s="54" t="s">
        <v>0</v>
      </c>
      <c r="B3" s="54" t="s">
        <v>1</v>
      </c>
      <c r="C3" s="55"/>
      <c r="D3" s="54" t="s">
        <v>2</v>
      </c>
      <c r="E3" s="55"/>
      <c r="F3" s="54" t="s">
        <v>3</v>
      </c>
      <c r="G3" s="55"/>
      <c r="H3" s="54" t="s">
        <v>4</v>
      </c>
      <c r="I3" s="55"/>
      <c r="J3" s="55"/>
    </row>
    <row r="4" spans="1:10" x14ac:dyDescent="0.35">
      <c r="A4" s="56" t="s">
        <v>9</v>
      </c>
      <c r="B4" s="57">
        <v>0.7542355635245338</v>
      </c>
      <c r="C4" s="58">
        <f>_xlfn.RANK.EQ(B4,B$4:B$12,0)</f>
        <v>9</v>
      </c>
      <c r="D4" s="56">
        <v>0.75213514666710002</v>
      </c>
      <c r="E4" s="58">
        <f>_xlfn.RANK.EQ(D4,D$4:D$12,0)</f>
        <v>9</v>
      </c>
      <c r="F4" s="56">
        <v>3.6575562651688518</v>
      </c>
      <c r="G4" s="58">
        <f>_xlfn.RANK.EQ(F4,F$4:F$12,0)</f>
        <v>9</v>
      </c>
      <c r="H4" s="56">
        <v>10.61144726647583</v>
      </c>
      <c r="I4" s="58">
        <f>_xlfn.RANK.EQ(H4,H$4:H$12,0)</f>
        <v>9</v>
      </c>
      <c r="J4" s="58">
        <f>C4+E4+G4+I4</f>
        <v>36</v>
      </c>
    </row>
    <row r="5" spans="1:10" x14ac:dyDescent="0.35">
      <c r="A5" s="56" t="s">
        <v>7</v>
      </c>
      <c r="B5" s="57">
        <v>1.1362673681772919</v>
      </c>
      <c r="C5" s="58">
        <f t="shared" ref="C5:E12" si="0">_xlfn.RANK.EQ(B5,B$4:B$12,0)</f>
        <v>8</v>
      </c>
      <c r="D5" s="56">
        <v>1.1242383711404229</v>
      </c>
      <c r="E5" s="58">
        <f t="shared" si="0"/>
        <v>8</v>
      </c>
      <c r="F5" s="56">
        <v>5.4774589082060006</v>
      </c>
      <c r="G5" s="58">
        <f t="shared" ref="G5" si="1">_xlfn.RANK.EQ(F5,F$4:F$12,0)</f>
        <v>8</v>
      </c>
      <c r="H5" s="56">
        <v>15.891420977506939</v>
      </c>
      <c r="I5" s="58">
        <f t="shared" ref="I5:I12" si="2">_xlfn.RANK.EQ(H5,H$4:H$12,0)</f>
        <v>8</v>
      </c>
      <c r="J5" s="58">
        <f t="shared" ref="J5:J12" si="3">C5+E5+G5+I5</f>
        <v>32</v>
      </c>
    </row>
    <row r="6" spans="1:10" x14ac:dyDescent="0.35">
      <c r="A6" s="56" t="s">
        <v>8</v>
      </c>
      <c r="B6" s="57">
        <v>1.32000096428767</v>
      </c>
      <c r="C6" s="58">
        <f t="shared" si="0"/>
        <v>7</v>
      </c>
      <c r="D6" s="56">
        <v>1.311633059824568</v>
      </c>
      <c r="E6" s="58">
        <f t="shared" si="0"/>
        <v>7</v>
      </c>
      <c r="F6" s="56">
        <v>6.4175893517075382</v>
      </c>
      <c r="G6" s="58">
        <f t="shared" ref="G6" si="4">_xlfn.RANK.EQ(F6,F$4:F$12,0)</f>
        <v>7</v>
      </c>
      <c r="H6" s="56">
        <v>18.618964698386531</v>
      </c>
      <c r="I6" s="58">
        <f t="shared" si="2"/>
        <v>7</v>
      </c>
      <c r="J6" s="58">
        <f t="shared" si="3"/>
        <v>28</v>
      </c>
    </row>
    <row r="7" spans="1:10" x14ac:dyDescent="0.35">
      <c r="A7" s="56" t="s">
        <v>10</v>
      </c>
      <c r="B7" s="57">
        <v>1.7103261047551479</v>
      </c>
      <c r="C7" s="58">
        <f t="shared" si="0"/>
        <v>6</v>
      </c>
      <c r="D7" s="56">
        <v>1.702492014351443</v>
      </c>
      <c r="E7" s="58">
        <f t="shared" si="0"/>
        <v>6</v>
      </c>
      <c r="F7" s="56">
        <v>8.30913052116329</v>
      </c>
      <c r="G7" s="58">
        <f t="shared" ref="G7" si="5">_xlfn.RANK.EQ(F7,F$4:F$12,0)</f>
        <v>6</v>
      </c>
      <c r="H7" s="56">
        <v>24.106778942884858</v>
      </c>
      <c r="I7" s="58">
        <f t="shared" si="2"/>
        <v>6</v>
      </c>
      <c r="J7" s="58">
        <f t="shared" si="3"/>
        <v>24</v>
      </c>
    </row>
    <row r="8" spans="1:10" x14ac:dyDescent="0.35">
      <c r="A8" s="56" t="s">
        <v>6</v>
      </c>
      <c r="B8" s="57">
        <v>2.4713530997790438</v>
      </c>
      <c r="C8" s="58">
        <f t="shared" si="0"/>
        <v>5</v>
      </c>
      <c r="D8" s="56">
        <v>2.438470123105132</v>
      </c>
      <c r="E8" s="58">
        <f t="shared" si="0"/>
        <v>5</v>
      </c>
      <c r="F8" s="56">
        <v>12.04846869943359</v>
      </c>
      <c r="G8" s="58">
        <f t="shared" ref="G8" si="6">_xlfn.RANK.EQ(F8,F$4:F$12,0)</f>
        <v>5</v>
      </c>
      <c r="H8" s="56">
        <v>34.955495138479257</v>
      </c>
      <c r="I8" s="58">
        <f t="shared" si="2"/>
        <v>5</v>
      </c>
      <c r="J8" s="58">
        <f t="shared" si="3"/>
        <v>20</v>
      </c>
    </row>
    <row r="9" spans="1:10" x14ac:dyDescent="0.35">
      <c r="A9" s="56" t="s">
        <v>5</v>
      </c>
      <c r="B9" s="57">
        <v>2.597129595687842</v>
      </c>
      <c r="C9" s="58">
        <f t="shared" si="0"/>
        <v>4</v>
      </c>
      <c r="D9" s="56">
        <v>2.557140726456737</v>
      </c>
      <c r="E9" s="58">
        <f t="shared" si="0"/>
        <v>4</v>
      </c>
      <c r="F9" s="56">
        <v>12.61720997449339</v>
      </c>
      <c r="G9" s="58">
        <f t="shared" ref="G9" si="7">_xlfn.RANK.EQ(F9,F$4:F$12,0)</f>
        <v>4</v>
      </c>
      <c r="H9" s="56">
        <v>36.605549877496827</v>
      </c>
      <c r="I9" s="58">
        <f t="shared" si="2"/>
        <v>4</v>
      </c>
      <c r="J9" s="58">
        <f t="shared" si="3"/>
        <v>16</v>
      </c>
    </row>
    <row r="10" spans="1:10" x14ac:dyDescent="0.35">
      <c r="A10" s="56" t="s">
        <v>11</v>
      </c>
      <c r="B10" s="57">
        <v>3.0180260363942621</v>
      </c>
      <c r="C10" s="58">
        <f t="shared" si="0"/>
        <v>3</v>
      </c>
      <c r="D10" s="56">
        <v>2.9584470395031199</v>
      </c>
      <c r="E10" s="58">
        <f t="shared" si="0"/>
        <v>3</v>
      </c>
      <c r="F10" s="56">
        <v>14.508994682892091</v>
      </c>
      <c r="G10" s="58">
        <f t="shared" ref="G10" si="8">_xlfn.RANK.EQ(F10,F$4:F$12,0)</f>
        <v>3</v>
      </c>
      <c r="H10" s="56">
        <v>42.094070686833277</v>
      </c>
      <c r="I10" s="58">
        <f t="shared" si="2"/>
        <v>3</v>
      </c>
      <c r="J10" s="58">
        <f t="shared" si="3"/>
        <v>12</v>
      </c>
    </row>
    <row r="11" spans="1:10" x14ac:dyDescent="0.35">
      <c r="A11" s="56" t="s">
        <v>60</v>
      </c>
      <c r="B11" s="57">
        <v>5.196672027432756</v>
      </c>
      <c r="C11" s="58">
        <f t="shared" si="0"/>
        <v>2</v>
      </c>
      <c r="D11" s="56">
        <v>5.0444766685075511</v>
      </c>
      <c r="E11" s="58">
        <f t="shared" si="0"/>
        <v>2</v>
      </c>
      <c r="F11" s="56">
        <v>25.09419146708715</v>
      </c>
      <c r="G11" s="58">
        <f t="shared" ref="G11" si="9">_xlfn.RANK.EQ(F11,F$4:F$12,0)</f>
        <v>2</v>
      </c>
      <c r="H11" s="56">
        <v>72.804263322945715</v>
      </c>
      <c r="I11" s="58">
        <f t="shared" si="2"/>
        <v>2</v>
      </c>
      <c r="J11" s="58">
        <f t="shared" si="3"/>
        <v>8</v>
      </c>
    </row>
    <row r="12" spans="1:10" x14ac:dyDescent="0.35">
      <c r="A12" s="56" t="s">
        <v>61</v>
      </c>
      <c r="B12" s="57">
        <v>8.4119089215455887</v>
      </c>
      <c r="C12" s="58">
        <f t="shared" si="0"/>
        <v>1</v>
      </c>
      <c r="D12" s="56">
        <v>8.9641288089850519</v>
      </c>
      <c r="E12" s="58">
        <f t="shared" si="0"/>
        <v>1</v>
      </c>
      <c r="F12" s="56">
        <v>40.587938790809723</v>
      </c>
      <c r="G12" s="58">
        <f t="shared" ref="G12" si="10">_xlfn.RANK.EQ(F12,F$4:F$12,0)</f>
        <v>1</v>
      </c>
      <c r="H12" s="56">
        <v>117.7553374189154</v>
      </c>
      <c r="I12" s="58">
        <f t="shared" si="2"/>
        <v>1</v>
      </c>
      <c r="J12" s="58">
        <f t="shared" si="3"/>
        <v>4</v>
      </c>
    </row>
    <row r="14" spans="1:10" x14ac:dyDescent="0.35">
      <c r="A14" s="51" t="s">
        <v>12</v>
      </c>
    </row>
    <row r="15" spans="1:10" x14ac:dyDescent="0.35">
      <c r="A15" s="54" t="s">
        <v>0</v>
      </c>
      <c r="B15" s="54" t="s">
        <v>1</v>
      </c>
      <c r="C15" s="58"/>
      <c r="D15" s="54" t="s">
        <v>2</v>
      </c>
      <c r="E15" s="58"/>
      <c r="F15" s="54" t="s">
        <v>3</v>
      </c>
      <c r="G15" s="55"/>
      <c r="H15" s="54" t="s">
        <v>4</v>
      </c>
      <c r="I15" s="55"/>
      <c r="J15" s="55"/>
    </row>
    <row r="16" spans="1:10" x14ac:dyDescent="0.35">
      <c r="A16" s="56" t="s">
        <v>8</v>
      </c>
      <c r="B16" s="56">
        <v>1.4060042784067299</v>
      </c>
      <c r="C16" s="58">
        <f>_xlfn.RANK.EQ(B16,B$16:B$24,0)</f>
        <v>9</v>
      </c>
      <c r="D16" s="56">
        <v>1.413654310457757</v>
      </c>
      <c r="E16" s="58">
        <f>_xlfn.RANK.EQ(D16,D$16:D$24,0)</f>
        <v>9</v>
      </c>
      <c r="F16" s="56">
        <v>4.0390926938668379</v>
      </c>
      <c r="G16" s="58">
        <f>_xlfn.RANK.EQ(F16,F$16:F$24,0)</f>
        <v>9</v>
      </c>
      <c r="H16" s="56">
        <v>7.2700468308795942</v>
      </c>
      <c r="I16" s="58">
        <f>_xlfn.RANK.EQ(H16,H$16:H$24,0)</f>
        <v>9</v>
      </c>
      <c r="J16" s="58">
        <f>C16+E16+G16+I16</f>
        <v>36</v>
      </c>
    </row>
    <row r="17" spans="1:10" x14ac:dyDescent="0.35">
      <c r="A17" s="56" t="s">
        <v>5</v>
      </c>
      <c r="B17" s="56">
        <v>2.1393027235678188</v>
      </c>
      <c r="C17" s="58">
        <f t="shared" ref="C17:C24" si="11">_xlfn.RANK.EQ(B17,B$16:B$24,0)</f>
        <v>8</v>
      </c>
      <c r="D17" s="56">
        <v>2.1490241554477119</v>
      </c>
      <c r="E17" s="58">
        <f t="shared" ref="E17:E24" si="12">_xlfn.RANK.EQ(D17,D$16:D$24,0)</f>
        <v>8</v>
      </c>
      <c r="F17" s="56">
        <v>6.1236490598224034</v>
      </c>
      <c r="G17" s="58">
        <f t="shared" ref="G17:G24" si="13">_xlfn.RANK.EQ(F17,F$16:F$24,0)</f>
        <v>8</v>
      </c>
      <c r="H17" s="56">
        <v>11.022083129803111</v>
      </c>
      <c r="I17" s="58">
        <f t="shared" ref="I17:I24" si="14">_xlfn.RANK.EQ(H17,H$16:H$24,0)</f>
        <v>8</v>
      </c>
      <c r="J17" s="58">
        <f t="shared" ref="J17:J24" si="15">C17+E17+G17+I17</f>
        <v>32</v>
      </c>
    </row>
    <row r="18" spans="1:10" x14ac:dyDescent="0.35">
      <c r="A18" s="56" t="s">
        <v>6</v>
      </c>
      <c r="B18" s="56">
        <v>2.6143350466186219</v>
      </c>
      <c r="C18" s="58">
        <f t="shared" si="11"/>
        <v>6</v>
      </c>
      <c r="D18" s="56">
        <v>2.6214300483787398</v>
      </c>
      <c r="E18" s="58">
        <f t="shared" si="12"/>
        <v>6</v>
      </c>
      <c r="F18" s="56">
        <v>7.5028349081280288</v>
      </c>
      <c r="G18" s="58">
        <f t="shared" si="13"/>
        <v>7</v>
      </c>
      <c r="H18" s="56">
        <v>13.50450838359672</v>
      </c>
      <c r="I18" s="58">
        <f t="shared" si="14"/>
        <v>7</v>
      </c>
      <c r="J18" s="58">
        <f t="shared" si="15"/>
        <v>26</v>
      </c>
    </row>
    <row r="19" spans="1:10" x14ac:dyDescent="0.35">
      <c r="A19" s="56" t="s">
        <v>9</v>
      </c>
      <c r="B19" s="56">
        <v>2.5504652187183781</v>
      </c>
      <c r="C19" s="58">
        <f t="shared" si="11"/>
        <v>7</v>
      </c>
      <c r="D19" s="56">
        <v>2.5311558073509479</v>
      </c>
      <c r="E19" s="58">
        <f t="shared" si="12"/>
        <v>7</v>
      </c>
      <c r="F19" s="56">
        <v>7.5514978082122024</v>
      </c>
      <c r="G19" s="58">
        <f t="shared" si="13"/>
        <v>6</v>
      </c>
      <c r="H19" s="56">
        <v>13.592097748177419</v>
      </c>
      <c r="I19" s="58">
        <f t="shared" si="14"/>
        <v>6</v>
      </c>
      <c r="J19" s="58">
        <f t="shared" si="15"/>
        <v>26</v>
      </c>
    </row>
    <row r="20" spans="1:10" x14ac:dyDescent="0.35">
      <c r="A20" s="56" t="s">
        <v>10</v>
      </c>
      <c r="B20" s="56">
        <v>3.6813451318010748</v>
      </c>
      <c r="C20" s="58">
        <f t="shared" si="11"/>
        <v>5</v>
      </c>
      <c r="D20" s="56">
        <v>3.563748393300517</v>
      </c>
      <c r="E20" s="58">
        <f t="shared" si="12"/>
        <v>5</v>
      </c>
      <c r="F20" s="56">
        <v>10.094496564420769</v>
      </c>
      <c r="G20" s="58">
        <f t="shared" si="13"/>
        <v>5</v>
      </c>
      <c r="H20" s="56">
        <v>18.16929402707876</v>
      </c>
      <c r="I20" s="58">
        <f t="shared" si="14"/>
        <v>5</v>
      </c>
      <c r="J20" s="58">
        <f t="shared" si="15"/>
        <v>20</v>
      </c>
    </row>
    <row r="21" spans="1:10" x14ac:dyDescent="0.35">
      <c r="A21" s="56" t="s">
        <v>7</v>
      </c>
      <c r="B21" s="56">
        <v>4.1570310547730136</v>
      </c>
      <c r="C21" s="58">
        <f t="shared" si="11"/>
        <v>4</v>
      </c>
      <c r="D21" s="56">
        <v>4.1298613242197693</v>
      </c>
      <c r="E21" s="58">
        <f t="shared" si="12"/>
        <v>4</v>
      </c>
      <c r="F21" s="56">
        <v>11.77413441120806</v>
      </c>
      <c r="G21" s="58">
        <f t="shared" si="13"/>
        <v>4</v>
      </c>
      <c r="H21" s="56">
        <v>21.1925090732705</v>
      </c>
      <c r="I21" s="58">
        <f t="shared" si="14"/>
        <v>4</v>
      </c>
      <c r="J21" s="58">
        <f t="shared" si="15"/>
        <v>16</v>
      </c>
    </row>
    <row r="22" spans="1:10" x14ac:dyDescent="0.35">
      <c r="A22" s="56" t="s">
        <v>11</v>
      </c>
      <c r="B22" s="56">
        <v>5.1790813957235544</v>
      </c>
      <c r="C22" s="58">
        <f t="shared" si="11"/>
        <v>3</v>
      </c>
      <c r="D22" s="56">
        <v>5.4382140850127856</v>
      </c>
      <c r="E22" s="58">
        <f t="shared" si="12"/>
        <v>3</v>
      </c>
      <c r="F22" s="56">
        <v>15.55333403391252</v>
      </c>
      <c r="G22" s="58">
        <f t="shared" si="13"/>
        <v>3</v>
      </c>
      <c r="H22" s="56">
        <v>27.99476896743516</v>
      </c>
      <c r="I22" s="58">
        <f t="shared" si="14"/>
        <v>3</v>
      </c>
      <c r="J22" s="58">
        <f t="shared" si="15"/>
        <v>12</v>
      </c>
    </row>
    <row r="23" spans="1:10" x14ac:dyDescent="0.35">
      <c r="A23" s="56" t="s">
        <v>60</v>
      </c>
      <c r="B23" s="56">
        <v>5.7595682502968586</v>
      </c>
      <c r="C23" s="58">
        <f t="shared" si="11"/>
        <v>2</v>
      </c>
      <c r="D23" s="56">
        <v>5.6024469489569331</v>
      </c>
      <c r="E23" s="58">
        <f t="shared" si="12"/>
        <v>2</v>
      </c>
      <c r="F23" s="56">
        <v>16.001852780900119</v>
      </c>
      <c r="G23" s="58">
        <f t="shared" si="13"/>
        <v>2</v>
      </c>
      <c r="H23" s="56">
        <v>28.8020671757874</v>
      </c>
      <c r="I23" s="58">
        <f t="shared" si="14"/>
        <v>2</v>
      </c>
      <c r="J23" s="58">
        <f t="shared" si="15"/>
        <v>8</v>
      </c>
    </row>
    <row r="24" spans="1:10" x14ac:dyDescent="0.35">
      <c r="A24" s="56" t="s">
        <v>61</v>
      </c>
      <c r="B24" s="56">
        <v>19.135518809960761</v>
      </c>
      <c r="C24" s="58">
        <f t="shared" si="11"/>
        <v>1</v>
      </c>
      <c r="D24" s="56">
        <v>22.314537825427809</v>
      </c>
      <c r="E24" s="58">
        <f t="shared" si="12"/>
        <v>1</v>
      </c>
      <c r="F24" s="56">
        <v>56.432246280890148</v>
      </c>
      <c r="G24" s="58">
        <f t="shared" si="13"/>
        <v>1</v>
      </c>
      <c r="H24" s="56">
        <v>101.5735721680192</v>
      </c>
      <c r="I24" s="58">
        <f t="shared" si="14"/>
        <v>1</v>
      </c>
      <c r="J24" s="58">
        <f t="shared" si="15"/>
        <v>4</v>
      </c>
    </row>
    <row r="26" spans="1:10" x14ac:dyDescent="0.35">
      <c r="A26" s="51" t="s">
        <v>29</v>
      </c>
    </row>
    <row r="27" spans="1:10" x14ac:dyDescent="0.35">
      <c r="A27" s="54" t="s">
        <v>0</v>
      </c>
      <c r="B27" s="54" t="s">
        <v>1</v>
      </c>
      <c r="C27" s="58"/>
      <c r="D27" s="54" t="s">
        <v>2</v>
      </c>
      <c r="E27" s="58"/>
      <c r="F27" s="54" t="s">
        <v>3</v>
      </c>
      <c r="G27" s="55"/>
      <c r="H27" s="54" t="s">
        <v>4</v>
      </c>
      <c r="I27" s="55"/>
      <c r="J27" s="55"/>
    </row>
    <row r="28" spans="1:10" x14ac:dyDescent="0.35">
      <c r="A28" s="56" t="s">
        <v>5</v>
      </c>
      <c r="B28" s="56">
        <v>1.038335489897404</v>
      </c>
      <c r="C28" s="58">
        <f>_xlfn.RANK.EQ(B28,B$28:B$36,0)</f>
        <v>9</v>
      </c>
      <c r="D28" s="56">
        <v>1.032870546059304</v>
      </c>
      <c r="E28" s="58">
        <f>_xlfn.RANK.EQ(D28,D$28:D$36,0)</f>
        <v>9</v>
      </c>
      <c r="F28" s="56">
        <v>3.2807616377733368</v>
      </c>
      <c r="G28" s="58">
        <f t="shared" ref="G28:G36" si="16">_xlfn.RANK.EQ(F28,F$28:F$36,0)</f>
        <v>9</v>
      </c>
      <c r="H28" s="56">
        <v>11.70828982894583</v>
      </c>
      <c r="I28" s="58">
        <f>_xlfn.RANK.EQ(H28,H$28:H$36,0)</f>
        <v>9</v>
      </c>
      <c r="J28" s="58">
        <f>C28+E28+G28+I28</f>
        <v>36</v>
      </c>
    </row>
    <row r="29" spans="1:10" x14ac:dyDescent="0.35">
      <c r="A29" s="56" t="s">
        <v>8</v>
      </c>
      <c r="B29" s="56">
        <v>1.115182775083871</v>
      </c>
      <c r="C29" s="58">
        <f t="shared" ref="C29:C36" si="17">_xlfn.RANK.EQ(B29,B$28:B$36,0)</f>
        <v>8</v>
      </c>
      <c r="D29" s="56">
        <v>1.105298469010616</v>
      </c>
      <c r="E29" s="58">
        <f t="shared" ref="E29:E36" si="18">_xlfn.RANK.EQ(D29,D$28:D$36,0)</f>
        <v>8</v>
      </c>
      <c r="F29" s="56">
        <v>3.5263166831082891</v>
      </c>
      <c r="G29" s="58">
        <f t="shared" si="16"/>
        <v>8</v>
      </c>
      <c r="H29" s="56">
        <v>12.58461976606764</v>
      </c>
      <c r="I29" s="58">
        <f t="shared" ref="I29:I36" si="19">_xlfn.RANK.EQ(H29,H$28:H$36,0)</f>
        <v>8</v>
      </c>
      <c r="J29" s="58">
        <f t="shared" ref="J29:J36" si="20">C29+E29+G29+I29</f>
        <v>32</v>
      </c>
    </row>
    <row r="30" spans="1:10" x14ac:dyDescent="0.35">
      <c r="A30" s="56" t="s">
        <v>9</v>
      </c>
      <c r="B30" s="56">
        <v>1.5469091494802241</v>
      </c>
      <c r="C30" s="58">
        <f t="shared" si="17"/>
        <v>7</v>
      </c>
      <c r="D30" s="56">
        <v>1.545865458350236</v>
      </c>
      <c r="E30" s="58">
        <f t="shared" si="18"/>
        <v>7</v>
      </c>
      <c r="F30" s="56">
        <v>4.9134836864377966</v>
      </c>
      <c r="G30" s="58">
        <f t="shared" si="16"/>
        <v>7</v>
      </c>
      <c r="H30" s="56">
        <v>17.53510233972856</v>
      </c>
      <c r="I30" s="58">
        <f t="shared" si="19"/>
        <v>7</v>
      </c>
      <c r="J30" s="58">
        <f t="shared" si="20"/>
        <v>28</v>
      </c>
    </row>
    <row r="31" spans="1:10" x14ac:dyDescent="0.35">
      <c r="A31" s="56" t="s">
        <v>6</v>
      </c>
      <c r="B31" s="56">
        <v>1.8755210949360359</v>
      </c>
      <c r="C31" s="58">
        <f t="shared" si="17"/>
        <v>6</v>
      </c>
      <c r="D31" s="56">
        <v>1.890174631960905</v>
      </c>
      <c r="E31" s="58">
        <f t="shared" si="18"/>
        <v>6</v>
      </c>
      <c r="F31" s="56">
        <v>6.0544987924843019</v>
      </c>
      <c r="G31" s="58">
        <f t="shared" si="16"/>
        <v>6</v>
      </c>
      <c r="H31" s="56">
        <v>21.607124947827842</v>
      </c>
      <c r="I31" s="58">
        <f t="shared" si="19"/>
        <v>6</v>
      </c>
      <c r="J31" s="58">
        <f t="shared" si="20"/>
        <v>24</v>
      </c>
    </row>
    <row r="32" spans="1:10" x14ac:dyDescent="0.35">
      <c r="A32" s="56" t="s">
        <v>10</v>
      </c>
      <c r="B32" s="56">
        <v>2.2563749272032729</v>
      </c>
      <c r="C32" s="58">
        <f t="shared" si="17"/>
        <v>5</v>
      </c>
      <c r="D32" s="56">
        <v>2.2211260672188602</v>
      </c>
      <c r="E32" s="58">
        <f t="shared" si="18"/>
        <v>5</v>
      </c>
      <c r="F32" s="56">
        <v>7.0855368270514649</v>
      </c>
      <c r="G32" s="58">
        <f t="shared" si="16"/>
        <v>5</v>
      </c>
      <c r="H32" s="56">
        <v>25.286664477426861</v>
      </c>
      <c r="I32" s="58">
        <f t="shared" si="19"/>
        <v>5</v>
      </c>
      <c r="J32" s="58">
        <f t="shared" si="20"/>
        <v>20</v>
      </c>
    </row>
    <row r="33" spans="1:10" x14ac:dyDescent="0.35">
      <c r="A33" s="56" t="s">
        <v>7</v>
      </c>
      <c r="B33" s="56">
        <v>2.5627902012953641</v>
      </c>
      <c r="C33" s="58">
        <f t="shared" si="17"/>
        <v>4</v>
      </c>
      <c r="D33" s="56">
        <v>2.5305712808835712</v>
      </c>
      <c r="E33" s="58">
        <f t="shared" si="18"/>
        <v>4</v>
      </c>
      <c r="F33" s="56">
        <v>8.0773539910153804</v>
      </c>
      <c r="G33" s="58">
        <f t="shared" si="16"/>
        <v>4</v>
      </c>
      <c r="H33" s="56">
        <v>28.82623366749274</v>
      </c>
      <c r="I33" s="58">
        <f t="shared" si="19"/>
        <v>4</v>
      </c>
      <c r="J33" s="58">
        <f t="shared" si="20"/>
        <v>16</v>
      </c>
    </row>
    <row r="34" spans="1:10" x14ac:dyDescent="0.35">
      <c r="A34" s="56" t="s">
        <v>11</v>
      </c>
      <c r="B34" s="56">
        <v>2.7981991521196541</v>
      </c>
      <c r="C34" s="58">
        <f t="shared" si="17"/>
        <v>3</v>
      </c>
      <c r="D34" s="56">
        <v>2.755626327398554</v>
      </c>
      <c r="E34" s="58">
        <f t="shared" si="18"/>
        <v>3</v>
      </c>
      <c r="F34" s="56">
        <v>8.8060222508057269</v>
      </c>
      <c r="G34" s="58">
        <f t="shared" si="16"/>
        <v>3</v>
      </c>
      <c r="H34" s="56">
        <v>31.426684452015241</v>
      </c>
      <c r="I34" s="58">
        <f t="shared" si="19"/>
        <v>3</v>
      </c>
      <c r="J34" s="58">
        <f t="shared" si="20"/>
        <v>12</v>
      </c>
    </row>
    <row r="35" spans="1:10" x14ac:dyDescent="0.35">
      <c r="A35" s="56" t="s">
        <v>60</v>
      </c>
      <c r="B35" s="56">
        <v>6.7378735827212379</v>
      </c>
      <c r="C35" s="58">
        <f t="shared" si="17"/>
        <v>2</v>
      </c>
      <c r="D35" s="56">
        <v>6.418004230153727</v>
      </c>
      <c r="E35" s="58">
        <f t="shared" si="18"/>
        <v>2</v>
      </c>
      <c r="F35" s="56">
        <v>21.10594964088331</v>
      </c>
      <c r="G35" s="58">
        <f t="shared" si="16"/>
        <v>2</v>
      </c>
      <c r="H35" s="56">
        <v>75.322319264350597</v>
      </c>
      <c r="I35" s="58">
        <f t="shared" si="19"/>
        <v>2</v>
      </c>
      <c r="J35" s="58">
        <f t="shared" si="20"/>
        <v>8</v>
      </c>
    </row>
    <row r="36" spans="1:10" x14ac:dyDescent="0.35">
      <c r="A36" s="56" t="s">
        <v>61</v>
      </c>
      <c r="B36" s="56">
        <v>8.210416337407322</v>
      </c>
      <c r="C36" s="58">
        <f t="shared" si="17"/>
        <v>1</v>
      </c>
      <c r="D36" s="56">
        <v>8.831137271180646</v>
      </c>
      <c r="E36" s="58">
        <f t="shared" si="18"/>
        <v>1</v>
      </c>
      <c r="F36" s="56">
        <v>26.557474662703811</v>
      </c>
      <c r="G36" s="58">
        <f t="shared" si="16"/>
        <v>1</v>
      </c>
      <c r="H36" s="56">
        <v>94.77756838404737</v>
      </c>
      <c r="I36" s="58">
        <f t="shared" si="19"/>
        <v>1</v>
      </c>
      <c r="J36" s="58">
        <f t="shared" si="20"/>
        <v>4</v>
      </c>
    </row>
    <row r="38" spans="1:10" x14ac:dyDescent="0.35">
      <c r="A38" s="51" t="s">
        <v>30</v>
      </c>
    </row>
    <row r="39" spans="1:10" x14ac:dyDescent="0.35">
      <c r="A39" s="54" t="s">
        <v>0</v>
      </c>
      <c r="B39" s="54" t="s">
        <v>1</v>
      </c>
      <c r="C39" s="58"/>
      <c r="D39" s="54" t="s">
        <v>2</v>
      </c>
      <c r="E39" s="58"/>
      <c r="F39" s="54" t="s">
        <v>3</v>
      </c>
      <c r="G39" s="55"/>
      <c r="H39" s="54" t="s">
        <v>4</v>
      </c>
      <c r="I39" s="55"/>
      <c r="J39" s="55"/>
    </row>
    <row r="40" spans="1:10" x14ac:dyDescent="0.35">
      <c r="A40" s="56" t="s">
        <v>8</v>
      </c>
      <c r="B40" s="56">
        <v>0.64910833457379047</v>
      </c>
      <c r="C40" s="58">
        <f>_xlfn.RANK.EQ(B40,B$40:B$48,0)</f>
        <v>9</v>
      </c>
      <c r="D40" s="56">
        <v>0.64594119776984349</v>
      </c>
      <c r="E40" s="58">
        <f>_xlfn.RANK.EQ(D40,D$40:D$48,0)</f>
        <v>9</v>
      </c>
      <c r="F40" s="56">
        <v>3.074522821509996</v>
      </c>
      <c r="G40" s="58">
        <f>_xlfn.RANK.EQ(F40,F$40:F$48,0)</f>
        <v>9</v>
      </c>
      <c r="H40" s="56">
        <v>12.21989546628841</v>
      </c>
      <c r="I40" s="58">
        <f>_xlfn.RANK.EQ(H40,H$40:H$48,0)</f>
        <v>9</v>
      </c>
      <c r="J40" s="58">
        <f t="shared" ref="J40:J48" si="21">C40+E40+G40+I40</f>
        <v>36</v>
      </c>
    </row>
    <row r="41" spans="1:10" x14ac:dyDescent="0.35">
      <c r="A41" s="56" t="s">
        <v>7</v>
      </c>
      <c r="B41" s="56">
        <v>0.6838170757034493</v>
      </c>
      <c r="C41" s="58">
        <f t="shared" ref="C41:C48" si="22">_xlfn.RANK.EQ(B41,B$40:B$48,0)</f>
        <v>8</v>
      </c>
      <c r="D41" s="56">
        <v>0.68558233535517699</v>
      </c>
      <c r="E41" s="58">
        <f t="shared" ref="E41:E48" si="23">_xlfn.RANK.EQ(D41,D$40:D$48,0)</f>
        <v>8</v>
      </c>
      <c r="F41" s="56">
        <v>3.2720966062289398</v>
      </c>
      <c r="G41" s="58">
        <f t="shared" ref="G41:G48" si="24">_xlfn.RANK.EQ(F41,F$40:F$48,0)</f>
        <v>8</v>
      </c>
      <c r="H41" s="56">
        <v>13.00516561593677</v>
      </c>
      <c r="I41" s="58">
        <f t="shared" ref="I41:I48" si="25">_xlfn.RANK.EQ(H41,H$40:H$48,0)</f>
        <v>8</v>
      </c>
      <c r="J41" s="58">
        <f t="shared" si="21"/>
        <v>32</v>
      </c>
    </row>
    <row r="42" spans="1:10" x14ac:dyDescent="0.35">
      <c r="A42" s="56" t="s">
        <v>5</v>
      </c>
      <c r="B42" s="56">
        <v>0.88062575677805688</v>
      </c>
      <c r="C42" s="58">
        <f t="shared" si="22"/>
        <v>7</v>
      </c>
      <c r="D42" s="56">
        <v>0.881322643242332</v>
      </c>
      <c r="E42" s="58">
        <f t="shared" si="23"/>
        <v>7</v>
      </c>
      <c r="F42" s="56">
        <v>4.1916534952411446</v>
      </c>
      <c r="G42" s="58">
        <f t="shared" si="24"/>
        <v>7</v>
      </c>
      <c r="H42" s="56">
        <v>16.6600056387263</v>
      </c>
      <c r="I42" s="58">
        <f t="shared" si="25"/>
        <v>7</v>
      </c>
      <c r="J42" s="58">
        <f t="shared" si="21"/>
        <v>28</v>
      </c>
    </row>
    <row r="43" spans="1:10" x14ac:dyDescent="0.35">
      <c r="A43" s="56" t="s">
        <v>6</v>
      </c>
      <c r="B43" s="56">
        <v>1.004331585233613</v>
      </c>
      <c r="C43" s="58">
        <f t="shared" si="22"/>
        <v>6</v>
      </c>
      <c r="D43" s="56">
        <v>0.99815645864548386</v>
      </c>
      <c r="E43" s="58">
        <f t="shared" si="23"/>
        <v>6</v>
      </c>
      <c r="F43" s="56">
        <v>4.7495083869624493</v>
      </c>
      <c r="G43" s="58">
        <f t="shared" si="24"/>
        <v>6</v>
      </c>
      <c r="H43" s="56">
        <v>18.877237013461698</v>
      </c>
      <c r="I43" s="58">
        <f t="shared" si="25"/>
        <v>6</v>
      </c>
      <c r="J43" s="58">
        <f t="shared" si="21"/>
        <v>24</v>
      </c>
    </row>
    <row r="44" spans="1:10" x14ac:dyDescent="0.35">
      <c r="A44" s="56" t="s">
        <v>9</v>
      </c>
      <c r="B44" s="56">
        <v>1.198254245565247</v>
      </c>
      <c r="C44" s="58">
        <f t="shared" si="22"/>
        <v>5</v>
      </c>
      <c r="D44" s="56">
        <v>1.1905278237156729</v>
      </c>
      <c r="E44" s="58">
        <f t="shared" si="23"/>
        <v>5</v>
      </c>
      <c r="F44" s="56">
        <v>5.6713282909837073</v>
      </c>
      <c r="G44" s="58">
        <f t="shared" si="24"/>
        <v>5</v>
      </c>
      <c r="H44" s="56">
        <v>22.541071539936741</v>
      </c>
      <c r="I44" s="58">
        <f t="shared" si="25"/>
        <v>5</v>
      </c>
      <c r="J44" s="58">
        <f t="shared" si="21"/>
        <v>20</v>
      </c>
    </row>
    <row r="45" spans="1:10" x14ac:dyDescent="0.35">
      <c r="A45" s="56" t="s">
        <v>10</v>
      </c>
      <c r="B45" s="56">
        <v>1.4051460742191391</v>
      </c>
      <c r="C45" s="58">
        <f t="shared" si="22"/>
        <v>4</v>
      </c>
      <c r="D45" s="56">
        <v>1.418756554725628</v>
      </c>
      <c r="E45" s="58">
        <f t="shared" si="23"/>
        <v>4</v>
      </c>
      <c r="F45" s="56">
        <v>6.7431483638729119</v>
      </c>
      <c r="G45" s="58">
        <f t="shared" si="24"/>
        <v>4</v>
      </c>
      <c r="H45" s="56">
        <v>26.801091715341752</v>
      </c>
      <c r="I45" s="58">
        <f t="shared" si="25"/>
        <v>4</v>
      </c>
      <c r="J45" s="58">
        <f t="shared" si="21"/>
        <v>16</v>
      </c>
    </row>
    <row r="46" spans="1:10" x14ac:dyDescent="0.35">
      <c r="A46" s="56" t="s">
        <v>11</v>
      </c>
      <c r="B46" s="56">
        <v>1.483768449537247</v>
      </c>
      <c r="C46" s="58">
        <f t="shared" si="22"/>
        <v>3</v>
      </c>
      <c r="D46" s="56">
        <v>1.4681300111094351</v>
      </c>
      <c r="E46" s="58">
        <f t="shared" si="23"/>
        <v>3</v>
      </c>
      <c r="F46" s="56">
        <v>7.0068963741736026</v>
      </c>
      <c r="G46" s="58">
        <f t="shared" si="24"/>
        <v>3</v>
      </c>
      <c r="H46" s="56">
        <v>27.84937572636532</v>
      </c>
      <c r="I46" s="58">
        <f t="shared" si="25"/>
        <v>3</v>
      </c>
      <c r="J46" s="58">
        <f t="shared" si="21"/>
        <v>12</v>
      </c>
    </row>
    <row r="47" spans="1:10" x14ac:dyDescent="0.35">
      <c r="A47" s="56" t="s">
        <v>60</v>
      </c>
      <c r="B47" s="56">
        <v>6.5190817456385881</v>
      </c>
      <c r="C47" s="58">
        <f t="shared" si="22"/>
        <v>2</v>
      </c>
      <c r="D47" s="56">
        <v>6.2720171286192734</v>
      </c>
      <c r="E47" s="58">
        <f t="shared" si="23"/>
        <v>2</v>
      </c>
      <c r="F47" s="56">
        <v>31.096628597582001</v>
      </c>
      <c r="G47" s="58">
        <f t="shared" si="24"/>
        <v>2</v>
      </c>
      <c r="H47" s="56">
        <v>123.59561885763389</v>
      </c>
      <c r="I47" s="58">
        <f t="shared" si="25"/>
        <v>2</v>
      </c>
      <c r="J47" s="58">
        <f t="shared" si="21"/>
        <v>8</v>
      </c>
    </row>
    <row r="48" spans="1:10" x14ac:dyDescent="0.35">
      <c r="A48" s="56" t="s">
        <v>61</v>
      </c>
      <c r="B48" s="56">
        <v>9.1503558479244962</v>
      </c>
      <c r="C48" s="58">
        <f t="shared" si="22"/>
        <v>1</v>
      </c>
      <c r="D48" s="56">
        <v>8.5983361361402775</v>
      </c>
      <c r="E48" s="58">
        <f t="shared" si="23"/>
        <v>1</v>
      </c>
      <c r="F48" s="56">
        <v>43.262205362108503</v>
      </c>
      <c r="G48" s="58">
        <f t="shared" si="24"/>
        <v>1</v>
      </c>
      <c r="H48" s="56">
        <v>171.94851294238441</v>
      </c>
      <c r="I48" s="58">
        <f t="shared" si="25"/>
        <v>1</v>
      </c>
      <c r="J48" s="58">
        <f t="shared" si="21"/>
        <v>4</v>
      </c>
    </row>
  </sheetData>
  <pageMargins left="0.511811024" right="0.511811024" top="0.78740157499999996" bottom="0.78740157499999996" header="0.31496062000000002" footer="0.31496062000000002"/>
  <ignoredErrors>
    <ignoredError sqref="G28:G36 G48 G47 E47 G46 E46 G45 E45 G44 E44 G43 E43 G42 E42 G41 E41 G40 E40 E4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896D-B5BB-4DAC-95F3-844CD3CDBAE5}">
  <dimension ref="A1:F37"/>
  <sheetViews>
    <sheetView workbookViewId="0"/>
  </sheetViews>
  <sheetFormatPr defaultRowHeight="14.5" x14ac:dyDescent="0.35"/>
  <cols>
    <col min="2" max="2" width="19.26953125" style="59" bestFit="1" customWidth="1"/>
    <col min="3" max="6" width="8.7265625" style="59"/>
  </cols>
  <sheetData>
    <row r="1" spans="1:6" x14ac:dyDescent="0.35">
      <c r="A1" s="1" t="s">
        <v>14</v>
      </c>
      <c r="B1" s="54" t="s">
        <v>0</v>
      </c>
      <c r="C1" s="54" t="s">
        <v>1</v>
      </c>
      <c r="D1" s="54" t="s">
        <v>2</v>
      </c>
      <c r="E1" s="54" t="s">
        <v>3</v>
      </c>
      <c r="F1" s="54" t="s">
        <v>4</v>
      </c>
    </row>
    <row r="2" spans="1:6" x14ac:dyDescent="0.35">
      <c r="A2" s="2" t="s">
        <v>16</v>
      </c>
      <c r="B2" s="56" t="s">
        <v>11</v>
      </c>
      <c r="C2" s="57">
        <v>3.0180260363942621</v>
      </c>
      <c r="D2" s="57">
        <v>2.9584470395031199</v>
      </c>
      <c r="E2" s="57">
        <v>14.508994682892091</v>
      </c>
      <c r="F2" s="57">
        <v>42.094070686833277</v>
      </c>
    </row>
    <row r="3" spans="1:6" x14ac:dyDescent="0.35">
      <c r="A3" s="2" t="s">
        <v>16</v>
      </c>
      <c r="B3" s="56" t="s">
        <v>25</v>
      </c>
      <c r="C3" s="57">
        <v>8.4119089215455887</v>
      </c>
      <c r="D3" s="57">
        <v>8.9641288089850519</v>
      </c>
      <c r="E3" s="57">
        <v>40.587938790809723</v>
      </c>
      <c r="F3" s="57">
        <v>117.7553374189154</v>
      </c>
    </row>
    <row r="4" spans="1:6" x14ac:dyDescent="0.35">
      <c r="A4" s="2" t="s">
        <v>16</v>
      </c>
      <c r="B4" s="56" t="s">
        <v>26</v>
      </c>
      <c r="C4" s="57">
        <v>5.196672027432756</v>
      </c>
      <c r="D4" s="57">
        <v>5.0444766685075511</v>
      </c>
      <c r="E4" s="57">
        <v>25.09419146708715</v>
      </c>
      <c r="F4" s="57">
        <v>72.804263322945715</v>
      </c>
    </row>
    <row r="5" spans="1:6" x14ac:dyDescent="0.35">
      <c r="A5" s="2" t="s">
        <v>16</v>
      </c>
      <c r="B5" s="56" t="s">
        <v>6</v>
      </c>
      <c r="C5" s="57">
        <v>2.4713530997790438</v>
      </c>
      <c r="D5" s="57">
        <v>2.438470123105132</v>
      </c>
      <c r="E5" s="57">
        <v>12.04846869943359</v>
      </c>
      <c r="F5" s="57">
        <v>34.955495138479257</v>
      </c>
    </row>
    <row r="6" spans="1:6" x14ac:dyDescent="0.35">
      <c r="A6" s="2" t="s">
        <v>16</v>
      </c>
      <c r="B6" s="56" t="s">
        <v>10</v>
      </c>
      <c r="C6" s="57">
        <v>1.7103261047551479</v>
      </c>
      <c r="D6" s="57">
        <v>1.702492014351443</v>
      </c>
      <c r="E6" s="57">
        <v>8.30913052116329</v>
      </c>
      <c r="F6" s="57">
        <v>24.106778942884858</v>
      </c>
    </row>
    <row r="7" spans="1:6" x14ac:dyDescent="0.35">
      <c r="A7" s="2" t="s">
        <v>16</v>
      </c>
      <c r="B7" s="56" t="s">
        <v>5</v>
      </c>
      <c r="C7" s="57">
        <v>2.5421170798105832</v>
      </c>
      <c r="D7" s="57">
        <v>2.515717015119403</v>
      </c>
      <c r="E7" s="57">
        <v>12.37317483051663</v>
      </c>
      <c r="F7" s="57">
        <v>35.897545441273422</v>
      </c>
    </row>
    <row r="8" spans="1:6" x14ac:dyDescent="0.35">
      <c r="A8" s="2" t="s">
        <v>16</v>
      </c>
      <c r="B8" s="56" t="s">
        <v>8</v>
      </c>
      <c r="C8" s="57">
        <v>1.2959327217655741</v>
      </c>
      <c r="D8" s="57">
        <v>1.288105183287499</v>
      </c>
      <c r="E8" s="57">
        <v>6.3036776743450487</v>
      </c>
      <c r="F8" s="57">
        <v>18.288479623179612</v>
      </c>
    </row>
    <row r="9" spans="1:6" x14ac:dyDescent="0.35">
      <c r="A9" s="2" t="s">
        <v>16</v>
      </c>
      <c r="B9" s="56" t="s">
        <v>9</v>
      </c>
      <c r="C9" s="57">
        <v>0.7542355635245338</v>
      </c>
      <c r="D9" s="57">
        <v>0.75213514666709957</v>
      </c>
      <c r="E9" s="57">
        <v>3.6575562651688518</v>
      </c>
      <c r="F9" s="57">
        <v>10.61144726647583</v>
      </c>
    </row>
    <row r="10" spans="1:6" x14ac:dyDescent="0.35">
      <c r="A10" s="2" t="s">
        <v>16</v>
      </c>
      <c r="B10" s="56" t="s">
        <v>7</v>
      </c>
      <c r="C10" s="57">
        <v>1.5649480393649029</v>
      </c>
      <c r="D10" s="57">
        <v>1.54946213193442</v>
      </c>
      <c r="E10" s="57">
        <v>7.5349263647872267</v>
      </c>
      <c r="F10" s="57">
        <v>21.860627145547639</v>
      </c>
    </row>
    <row r="11" spans="1:6" x14ac:dyDescent="0.35">
      <c r="A11" s="2" t="s">
        <v>15</v>
      </c>
      <c r="B11" s="56" t="s">
        <v>11</v>
      </c>
      <c r="C11" s="57">
        <v>5.1790813957235544</v>
      </c>
      <c r="D11" s="57">
        <v>5.4382140850127856</v>
      </c>
      <c r="E11" s="57">
        <v>15.55333403391252</v>
      </c>
      <c r="F11" s="57">
        <v>27.99476896743516</v>
      </c>
    </row>
    <row r="12" spans="1:6" x14ac:dyDescent="0.35">
      <c r="A12" s="2" t="s">
        <v>15</v>
      </c>
      <c r="B12" s="56" t="s">
        <v>25</v>
      </c>
      <c r="C12" s="57">
        <v>19.135518809960761</v>
      </c>
      <c r="D12" s="57">
        <v>22.314537825427809</v>
      </c>
      <c r="E12" s="57">
        <v>56.432246280890148</v>
      </c>
      <c r="F12" s="57">
        <v>101.5735721680192</v>
      </c>
    </row>
    <row r="13" spans="1:6" x14ac:dyDescent="0.35">
      <c r="A13" s="2" t="s">
        <v>15</v>
      </c>
      <c r="B13" s="56" t="s">
        <v>26</v>
      </c>
      <c r="C13" s="57">
        <v>5.7595682502968586</v>
      </c>
      <c r="D13" s="57">
        <v>5.6024469489569331</v>
      </c>
      <c r="E13" s="57">
        <v>16.001852780900119</v>
      </c>
      <c r="F13" s="57">
        <v>28.8020671757874</v>
      </c>
    </row>
    <row r="14" spans="1:6" x14ac:dyDescent="0.35">
      <c r="A14" s="2" t="s">
        <v>15</v>
      </c>
      <c r="B14" s="56" t="s">
        <v>6</v>
      </c>
      <c r="C14" s="57">
        <v>2.6143350466186219</v>
      </c>
      <c r="D14" s="57">
        <v>2.6214300483787398</v>
      </c>
      <c r="E14" s="57">
        <v>7.5028349081280288</v>
      </c>
      <c r="F14" s="57">
        <v>13.50450838359672</v>
      </c>
    </row>
    <row r="15" spans="1:6" x14ac:dyDescent="0.35">
      <c r="A15" s="2" t="s">
        <v>15</v>
      </c>
      <c r="B15" s="56" t="s">
        <v>10</v>
      </c>
      <c r="C15" s="57">
        <v>3.6813451318010748</v>
      </c>
      <c r="D15" s="57">
        <v>3.563748393300517</v>
      </c>
      <c r="E15" s="57">
        <v>10.094496564420769</v>
      </c>
      <c r="F15" s="57">
        <v>18.16929402707876</v>
      </c>
    </row>
    <row r="16" spans="1:6" x14ac:dyDescent="0.35">
      <c r="A16" s="2" t="s">
        <v>15</v>
      </c>
      <c r="B16" s="56" t="s">
        <v>5</v>
      </c>
      <c r="C16" s="57">
        <v>2.3444745067105699</v>
      </c>
      <c r="D16" s="57">
        <v>2.3631071216460571</v>
      </c>
      <c r="E16" s="57">
        <v>6.7068439646339177</v>
      </c>
      <c r="F16" s="57">
        <v>12.07178775182085</v>
      </c>
    </row>
    <row r="17" spans="1:6" x14ac:dyDescent="0.35">
      <c r="A17" s="2" t="s">
        <v>15</v>
      </c>
      <c r="B17" s="56" t="s">
        <v>8</v>
      </c>
      <c r="C17" s="57">
        <v>1.4258645676821839</v>
      </c>
      <c r="D17" s="57">
        <v>1.433206319625135</v>
      </c>
      <c r="E17" s="57">
        <v>4.1091702880332894</v>
      </c>
      <c r="F17" s="57">
        <v>7.3961809481181229</v>
      </c>
    </row>
    <row r="18" spans="1:6" x14ac:dyDescent="0.35">
      <c r="A18" s="2" t="s">
        <v>15</v>
      </c>
      <c r="B18" s="56" t="s">
        <v>9</v>
      </c>
      <c r="C18" s="57">
        <v>2.5504652187183781</v>
      </c>
      <c r="D18" s="57">
        <v>2.5311558073509479</v>
      </c>
      <c r="E18" s="57">
        <v>7.5514978082122024</v>
      </c>
      <c r="F18" s="57">
        <v>13.592097748177419</v>
      </c>
    </row>
    <row r="19" spans="1:6" x14ac:dyDescent="0.35">
      <c r="A19" s="2" t="s">
        <v>15</v>
      </c>
      <c r="B19" s="56" t="s">
        <v>7</v>
      </c>
      <c r="C19" s="57">
        <v>4.1461070782860956</v>
      </c>
      <c r="D19" s="57">
        <v>4.0867734776623639</v>
      </c>
      <c r="E19" s="57">
        <v>11.612169054860191</v>
      </c>
      <c r="F19" s="57">
        <v>20.90098426439026</v>
      </c>
    </row>
    <row r="20" spans="1:6" x14ac:dyDescent="0.35">
      <c r="A20" s="2" t="s">
        <v>31</v>
      </c>
      <c r="B20" s="56" t="s">
        <v>11</v>
      </c>
      <c r="C20" s="57">
        <v>2.7981991521196541</v>
      </c>
      <c r="D20" s="57">
        <v>2.755626327398554</v>
      </c>
      <c r="E20" s="57">
        <v>8.8060222508057269</v>
      </c>
      <c r="F20" s="57">
        <v>31.426684452015241</v>
      </c>
    </row>
    <row r="21" spans="1:6" x14ac:dyDescent="0.35">
      <c r="A21" s="2" t="s">
        <v>31</v>
      </c>
      <c r="B21" s="56" t="s">
        <v>25</v>
      </c>
      <c r="C21" s="57">
        <v>8.210416337407322</v>
      </c>
      <c r="D21" s="57">
        <v>8.831137271180646</v>
      </c>
      <c r="E21" s="57">
        <v>26.557474662703811</v>
      </c>
      <c r="F21" s="57">
        <v>94.77756838404737</v>
      </c>
    </row>
    <row r="22" spans="1:6" x14ac:dyDescent="0.35">
      <c r="A22" s="2" t="s">
        <v>31</v>
      </c>
      <c r="B22" s="56" t="s">
        <v>26</v>
      </c>
      <c r="C22" s="57">
        <v>6.7378735827212379</v>
      </c>
      <c r="D22" s="57">
        <v>6.418004230153727</v>
      </c>
      <c r="E22" s="57">
        <v>21.10594964088331</v>
      </c>
      <c r="F22" s="57">
        <v>75.322319264350597</v>
      </c>
    </row>
    <row r="23" spans="1:6" x14ac:dyDescent="0.35">
      <c r="A23" s="2" t="s">
        <v>31</v>
      </c>
      <c r="B23" s="56" t="s">
        <v>6</v>
      </c>
      <c r="C23" s="57">
        <v>1.355426553697358</v>
      </c>
      <c r="D23" s="57">
        <v>1.3572154355089421</v>
      </c>
      <c r="E23" s="57">
        <v>4.3178023141956352</v>
      </c>
      <c r="F23" s="57">
        <v>15.40925141791366</v>
      </c>
    </row>
    <row r="24" spans="1:6" x14ac:dyDescent="0.35">
      <c r="A24" s="2" t="s">
        <v>31</v>
      </c>
      <c r="B24" s="56" t="s">
        <v>10</v>
      </c>
      <c r="C24" s="57">
        <v>2.2563749272032729</v>
      </c>
      <c r="D24" s="57">
        <v>2.2211260672188602</v>
      </c>
      <c r="E24" s="57">
        <v>7.0855368270514649</v>
      </c>
      <c r="F24" s="57">
        <v>25.286664477426861</v>
      </c>
    </row>
    <row r="25" spans="1:6" x14ac:dyDescent="0.35">
      <c r="A25" s="2" t="s">
        <v>31</v>
      </c>
      <c r="B25" s="56" t="s">
        <v>5</v>
      </c>
      <c r="C25" s="57">
        <v>1.8033190586648049</v>
      </c>
      <c r="D25" s="57">
        <v>1.787143313509852</v>
      </c>
      <c r="E25" s="57">
        <v>5.6890013124452494</v>
      </c>
      <c r="F25" s="57">
        <v>20.302747824303861</v>
      </c>
    </row>
    <row r="26" spans="1:6" x14ac:dyDescent="0.35">
      <c r="A26" s="2" t="s">
        <v>31</v>
      </c>
      <c r="B26" s="56" t="s">
        <v>8</v>
      </c>
      <c r="C26" s="57">
        <v>1.013714403826977</v>
      </c>
      <c r="D26" s="57">
        <v>1.004914959344162</v>
      </c>
      <c r="E26" s="57">
        <v>3.190149274615091</v>
      </c>
      <c r="F26" s="57">
        <v>11.384914976677541</v>
      </c>
    </row>
    <row r="27" spans="1:6" x14ac:dyDescent="0.35">
      <c r="A27" s="2" t="s">
        <v>31</v>
      </c>
      <c r="B27" s="56" t="s">
        <v>9</v>
      </c>
      <c r="C27" s="57">
        <v>2.5998603933710842</v>
      </c>
      <c r="D27" s="57">
        <v>2.6028841324104319</v>
      </c>
      <c r="E27" s="57">
        <v>8.3127530382042156</v>
      </c>
      <c r="F27" s="57">
        <v>29.666319164168819</v>
      </c>
    </row>
    <row r="28" spans="1:6" x14ac:dyDescent="0.35">
      <c r="A28" s="2" t="s">
        <v>31</v>
      </c>
      <c r="B28" s="56" t="s">
        <v>7</v>
      </c>
      <c r="C28" s="57">
        <v>2.6060600909309302</v>
      </c>
      <c r="D28" s="57">
        <v>2.5904331877143481</v>
      </c>
      <c r="E28" s="57">
        <v>8.2717170071582196</v>
      </c>
      <c r="F28" s="57">
        <v>29.519870931116969</v>
      </c>
    </row>
    <row r="29" spans="1:6" x14ac:dyDescent="0.35">
      <c r="A29" s="2" t="s">
        <v>32</v>
      </c>
      <c r="B29" s="56" t="s">
        <v>11</v>
      </c>
      <c r="C29" s="57">
        <v>1.483768449537247</v>
      </c>
      <c r="D29" s="57">
        <v>1.4681300111094351</v>
      </c>
      <c r="E29" s="57">
        <v>7.0068963741736026</v>
      </c>
      <c r="F29" s="57">
        <v>27.84937572636532</v>
      </c>
    </row>
    <row r="30" spans="1:6" x14ac:dyDescent="0.35">
      <c r="A30" s="2" t="s">
        <v>32</v>
      </c>
      <c r="B30" s="56" t="s">
        <v>25</v>
      </c>
      <c r="C30" s="57">
        <v>9.1503558479244962</v>
      </c>
      <c r="D30" s="57">
        <v>8.5983361361402775</v>
      </c>
      <c r="E30" s="57">
        <v>43.262205362108503</v>
      </c>
      <c r="F30" s="57">
        <v>171.94851294238441</v>
      </c>
    </row>
    <row r="31" spans="1:6" x14ac:dyDescent="0.35">
      <c r="A31" s="2" t="s">
        <v>32</v>
      </c>
      <c r="B31" s="56" t="s">
        <v>26</v>
      </c>
      <c r="C31" s="57">
        <v>6.5190817456385881</v>
      </c>
      <c r="D31" s="57">
        <v>6.2720171286192734</v>
      </c>
      <c r="E31" s="57">
        <v>31.096628597582001</v>
      </c>
      <c r="F31" s="57">
        <v>123.59561885763389</v>
      </c>
    </row>
    <row r="32" spans="1:6" x14ac:dyDescent="0.35">
      <c r="A32" s="2" t="s">
        <v>32</v>
      </c>
      <c r="B32" s="56" t="s">
        <v>6</v>
      </c>
      <c r="C32" s="57">
        <v>1.004331585233613</v>
      </c>
      <c r="D32" s="57">
        <v>0.99815645864548386</v>
      </c>
      <c r="E32" s="57">
        <v>4.7495083869624493</v>
      </c>
      <c r="F32" s="57">
        <v>18.877237013461698</v>
      </c>
    </row>
    <row r="33" spans="1:6" x14ac:dyDescent="0.35">
      <c r="A33" s="2" t="s">
        <v>32</v>
      </c>
      <c r="B33" s="56" t="s">
        <v>10</v>
      </c>
      <c r="C33" s="57">
        <v>1.2947150168530259</v>
      </c>
      <c r="D33" s="57">
        <v>1.298215660278323</v>
      </c>
      <c r="E33" s="57">
        <v>6.1825052367745261</v>
      </c>
      <c r="F33" s="57">
        <v>24.572778313631311</v>
      </c>
    </row>
    <row r="34" spans="1:6" x14ac:dyDescent="0.35">
      <c r="A34" s="2" t="s">
        <v>32</v>
      </c>
      <c r="B34" s="56" t="s">
        <v>5</v>
      </c>
      <c r="C34" s="57">
        <v>1.030154912671092</v>
      </c>
      <c r="D34" s="57">
        <v>1.0228296386486311</v>
      </c>
      <c r="E34" s="57">
        <v>4.8706935257028121</v>
      </c>
      <c r="F34" s="57">
        <v>19.358895408421208</v>
      </c>
    </row>
    <row r="35" spans="1:6" x14ac:dyDescent="0.35">
      <c r="A35" s="2" t="s">
        <v>32</v>
      </c>
      <c r="B35" s="56" t="s">
        <v>8</v>
      </c>
      <c r="C35" s="57">
        <v>0.62315266331688235</v>
      </c>
      <c r="D35" s="57">
        <v>0.62120679072159068</v>
      </c>
      <c r="E35" s="57">
        <v>2.9596731351667809</v>
      </c>
      <c r="F35" s="57">
        <v>11.763417748305219</v>
      </c>
    </row>
    <row r="36" spans="1:6" x14ac:dyDescent="0.35">
      <c r="A36" s="2" t="s">
        <v>32</v>
      </c>
      <c r="B36" s="56" t="s">
        <v>9</v>
      </c>
      <c r="C36" s="57">
        <v>1.198254245565247</v>
      </c>
      <c r="D36" s="57">
        <v>1.1905278237156729</v>
      </c>
      <c r="E36" s="57">
        <v>5.6713282909837073</v>
      </c>
      <c r="F36" s="57">
        <v>22.541071539936741</v>
      </c>
    </row>
    <row r="37" spans="1:6" x14ac:dyDescent="0.35">
      <c r="A37" s="2" t="s">
        <v>32</v>
      </c>
      <c r="B37" s="56" t="s">
        <v>7</v>
      </c>
      <c r="C37" s="57">
        <v>0.6838170757034493</v>
      </c>
      <c r="D37" s="57">
        <v>0.68558233535517699</v>
      </c>
      <c r="E37" s="57">
        <v>3.2720966062289398</v>
      </c>
      <c r="F37" s="57">
        <v>13.00516561593677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178D-078F-42B1-9594-D3D2FD30C69E}">
  <dimension ref="B1:L17"/>
  <sheetViews>
    <sheetView showGridLines="0" zoomScale="205" zoomScaleNormal="205" workbookViewId="0">
      <selection activeCell="C9" sqref="C9:L10"/>
    </sheetView>
  </sheetViews>
  <sheetFormatPr defaultRowHeight="14.5" x14ac:dyDescent="0.35"/>
  <cols>
    <col min="3" max="3" width="10.6328125" bestFit="1" customWidth="1"/>
    <col min="4" max="4" width="11.81640625" bestFit="1" customWidth="1"/>
    <col min="5" max="5" width="5.54296875" bestFit="1" customWidth="1"/>
    <col min="6" max="6" width="11.7265625" customWidth="1"/>
    <col min="7" max="7" width="10.08984375" bestFit="1" customWidth="1"/>
    <col min="8" max="8" width="6.81640625" bestFit="1" customWidth="1"/>
    <col min="12" max="12" width="7.7265625" bestFit="1" customWidth="1"/>
  </cols>
  <sheetData>
    <row r="1" spans="2:12" ht="15" thickBot="1" x14ac:dyDescent="0.4"/>
    <row r="2" spans="2:12" ht="15" thickTop="1" x14ac:dyDescent="0.35">
      <c r="B2" s="46" t="s">
        <v>27</v>
      </c>
      <c r="C2" s="41" t="s">
        <v>46</v>
      </c>
      <c r="D2" s="42"/>
      <c r="E2" s="43"/>
      <c r="F2" s="41" t="s">
        <v>47</v>
      </c>
      <c r="G2" s="42"/>
      <c r="H2" s="42"/>
      <c r="I2" s="42"/>
      <c r="J2" s="42"/>
      <c r="K2" s="43"/>
      <c r="L2" s="44" t="s">
        <v>45</v>
      </c>
    </row>
    <row r="3" spans="2:12" ht="15" thickBot="1" x14ac:dyDescent="0.4">
      <c r="B3" s="47"/>
      <c r="C3" s="9" t="s">
        <v>0</v>
      </c>
      <c r="D3" s="7" t="s">
        <v>2</v>
      </c>
      <c r="E3" s="10" t="s">
        <v>36</v>
      </c>
      <c r="F3" s="9" t="s">
        <v>40</v>
      </c>
      <c r="G3" s="7" t="s">
        <v>38</v>
      </c>
      <c r="H3" s="7" t="s">
        <v>39</v>
      </c>
      <c r="I3" s="7" t="s">
        <v>41</v>
      </c>
      <c r="J3" s="7" t="s">
        <v>42</v>
      </c>
      <c r="K3" s="10" t="s">
        <v>43</v>
      </c>
      <c r="L3" s="45"/>
    </row>
    <row r="4" spans="2:12" ht="15" thickTop="1" x14ac:dyDescent="0.35">
      <c r="B4" s="48" t="s">
        <v>22</v>
      </c>
      <c r="C4" s="26" t="s">
        <v>9</v>
      </c>
      <c r="D4" s="27">
        <v>0.75213514666710002</v>
      </c>
      <c r="E4" s="28">
        <v>36</v>
      </c>
      <c r="F4" s="26" t="s">
        <v>37</v>
      </c>
      <c r="G4" s="29">
        <v>1</v>
      </c>
      <c r="H4" s="27">
        <v>0.26629999999999998</v>
      </c>
      <c r="I4" s="27">
        <v>2.4744999999999999</v>
      </c>
      <c r="J4" s="27">
        <v>4.8220999999999998</v>
      </c>
      <c r="K4" s="30">
        <f t="shared" ref="K4:K10" si="0">J4/I4</f>
        <v>1.9487169125075774</v>
      </c>
      <c r="L4" s="27">
        <f>K4*D4</f>
        <v>1.465698480801545</v>
      </c>
    </row>
    <row r="5" spans="2:12" x14ac:dyDescent="0.35">
      <c r="B5" s="39"/>
      <c r="C5" s="21" t="s">
        <v>7</v>
      </c>
      <c r="D5" s="22">
        <v>1.1242383711404229</v>
      </c>
      <c r="E5" s="23">
        <v>32</v>
      </c>
      <c r="F5" s="21" t="s">
        <v>44</v>
      </c>
      <c r="G5" s="24">
        <v>0</v>
      </c>
      <c r="H5" s="22">
        <v>0.46970000000000001</v>
      </c>
      <c r="I5" s="22">
        <v>16.122599999999998</v>
      </c>
      <c r="J5" s="22">
        <v>16.569900000000001</v>
      </c>
      <c r="K5" s="25">
        <f t="shared" si="0"/>
        <v>1.0277436641732725</v>
      </c>
      <c r="L5" s="22">
        <f>K5*D5</f>
        <v>1.1554288629600495</v>
      </c>
    </row>
    <row r="6" spans="2:12" ht="15" thickBot="1" x14ac:dyDescent="0.4">
      <c r="B6" s="39"/>
      <c r="C6" s="11" t="s">
        <v>8</v>
      </c>
      <c r="D6" s="15">
        <v>1.311633059824568</v>
      </c>
      <c r="E6" s="16">
        <v>28</v>
      </c>
      <c r="F6" s="11" t="s">
        <v>44</v>
      </c>
      <c r="G6" s="3">
        <v>0</v>
      </c>
      <c r="H6" s="15">
        <v>0.46970000000000001</v>
      </c>
      <c r="I6" s="15">
        <v>11.3901</v>
      </c>
      <c r="J6" s="15">
        <v>12.192399999999999</v>
      </c>
      <c r="K6" s="19">
        <f t="shared" si="0"/>
        <v>1.0704383631399197</v>
      </c>
      <c r="L6" s="15">
        <f>K6*D6</f>
        <v>1.404022345598815</v>
      </c>
    </row>
    <row r="7" spans="2:12" ht="15" thickTop="1" x14ac:dyDescent="0.35">
      <c r="B7" s="48" t="s">
        <v>12</v>
      </c>
      <c r="C7" s="26" t="s">
        <v>8</v>
      </c>
      <c r="D7" s="27">
        <v>1.413654310457757</v>
      </c>
      <c r="E7" s="28">
        <v>36</v>
      </c>
      <c r="F7" s="26" t="s">
        <v>28</v>
      </c>
      <c r="G7" s="29">
        <v>1</v>
      </c>
      <c r="H7" s="27">
        <v>0.26629999999999998</v>
      </c>
      <c r="I7" s="27">
        <v>12.1418</v>
      </c>
      <c r="J7" s="27">
        <v>19.871600000000001</v>
      </c>
      <c r="K7" s="30">
        <f t="shared" si="0"/>
        <v>1.6366271887199593</v>
      </c>
      <c r="L7" s="27">
        <f t="shared" ref="L7:L10" si="1">K7*D7</f>
        <v>2.3136250799463314</v>
      </c>
    </row>
    <row r="8" spans="2:12" x14ac:dyDescent="0.35">
      <c r="B8" s="39"/>
      <c r="C8" s="21" t="s">
        <v>5</v>
      </c>
      <c r="D8" s="22">
        <v>2.1490241554477119</v>
      </c>
      <c r="E8" s="23">
        <v>32</v>
      </c>
      <c r="F8" s="21" t="s">
        <v>44</v>
      </c>
      <c r="G8" s="24">
        <v>0</v>
      </c>
      <c r="H8" s="22">
        <v>0.46970000000000001</v>
      </c>
      <c r="I8" s="22">
        <v>39.214100000000002</v>
      </c>
      <c r="J8" s="22">
        <v>40.587800000000001</v>
      </c>
      <c r="K8" s="25">
        <f t="shared" si="0"/>
        <v>1.0350307669945249</v>
      </c>
      <c r="L8" s="22">
        <f t="shared" si="1"/>
        <v>2.2243061199028062</v>
      </c>
    </row>
    <row r="9" spans="2:12" x14ac:dyDescent="0.35">
      <c r="B9" s="39"/>
      <c r="C9" s="60" t="s">
        <v>6</v>
      </c>
      <c r="D9" s="61">
        <v>2.6214300483787398</v>
      </c>
      <c r="E9" s="62">
        <v>26</v>
      </c>
      <c r="F9" s="60" t="s">
        <v>44</v>
      </c>
      <c r="G9" s="52">
        <v>0</v>
      </c>
      <c r="H9" s="61">
        <v>0.46970000000000001</v>
      </c>
      <c r="I9" s="61">
        <v>32.016500000000001</v>
      </c>
      <c r="J9" s="61">
        <v>35.4544</v>
      </c>
      <c r="K9" s="63">
        <f t="shared" si="0"/>
        <v>1.107379007699155</v>
      </c>
      <c r="L9" s="61">
        <f t="shared" si="1"/>
        <v>2.9029166057263969</v>
      </c>
    </row>
    <row r="10" spans="2:12" ht="15" thickBot="1" x14ac:dyDescent="0.4">
      <c r="B10" s="38"/>
      <c r="C10" s="60" t="s">
        <v>9</v>
      </c>
      <c r="D10" s="61">
        <v>2.5311558073509479</v>
      </c>
      <c r="E10" s="62">
        <v>26</v>
      </c>
      <c r="F10" s="60" t="s">
        <v>44</v>
      </c>
      <c r="G10" s="52">
        <v>0</v>
      </c>
      <c r="H10" s="61">
        <v>0.46970000000000001</v>
      </c>
      <c r="I10" s="61">
        <v>52.149299999999997</v>
      </c>
      <c r="J10" s="61">
        <v>54.091200000000001</v>
      </c>
      <c r="K10" s="63">
        <f t="shared" si="0"/>
        <v>1.0372373167041553</v>
      </c>
      <c r="L10" s="61">
        <f t="shared" si="1"/>
        <v>2.6254092577768371</v>
      </c>
    </row>
    <row r="11" spans="2:12" ht="15" thickTop="1" x14ac:dyDescent="0.35">
      <c r="B11" s="48" t="s">
        <v>34</v>
      </c>
      <c r="C11" s="35" t="s">
        <v>5</v>
      </c>
      <c r="D11" s="36">
        <v>1.032870546059304</v>
      </c>
      <c r="E11" s="8">
        <v>36</v>
      </c>
      <c r="F11" s="35" t="s">
        <v>44</v>
      </c>
      <c r="G11" s="6">
        <v>0</v>
      </c>
      <c r="H11" s="36">
        <v>0.46970000000000001</v>
      </c>
      <c r="I11" s="36">
        <v>15.3866</v>
      </c>
      <c r="J11" s="36">
        <v>16.069900000000001</v>
      </c>
      <c r="K11" s="37">
        <f t="shared" ref="K11:K16" si="2">J11/I11</f>
        <v>1.0444087712685064</v>
      </c>
      <c r="L11" s="36">
        <f t="shared" ref="L11:L16" si="3">K11*D11</f>
        <v>1.0787390578892289</v>
      </c>
    </row>
    <row r="12" spans="2:12" x14ac:dyDescent="0.35">
      <c r="B12" s="39"/>
      <c r="C12" s="11" t="s">
        <v>8</v>
      </c>
      <c r="D12" s="15">
        <v>1.105298469010616</v>
      </c>
      <c r="E12" s="16">
        <v>32</v>
      </c>
      <c r="F12" s="11" t="s">
        <v>28</v>
      </c>
      <c r="G12" s="3">
        <v>1</v>
      </c>
      <c r="H12" s="15">
        <v>0.26629999999999998</v>
      </c>
      <c r="I12" s="15">
        <v>15.871700000000001</v>
      </c>
      <c r="J12" s="15">
        <v>15.871700000000001</v>
      </c>
      <c r="K12" s="19">
        <f t="shared" si="2"/>
        <v>1</v>
      </c>
      <c r="L12" s="15">
        <f t="shared" si="3"/>
        <v>1.105298469010616</v>
      </c>
    </row>
    <row r="13" spans="2:12" ht="15" thickBot="1" x14ac:dyDescent="0.4">
      <c r="B13" s="49"/>
      <c r="C13" s="12" t="s">
        <v>9</v>
      </c>
      <c r="D13" s="31">
        <v>1.545865458350236</v>
      </c>
      <c r="E13" s="33">
        <v>28</v>
      </c>
      <c r="F13" s="12" t="s">
        <v>44</v>
      </c>
      <c r="G13" s="34">
        <v>0</v>
      </c>
      <c r="H13" s="31">
        <v>0.46970000000000001</v>
      </c>
      <c r="I13" s="31">
        <v>15.2569</v>
      </c>
      <c r="J13" s="31">
        <v>15.5936</v>
      </c>
      <c r="K13" s="32">
        <f t="shared" si="2"/>
        <v>1.0220687033407836</v>
      </c>
      <c r="L13" s="31">
        <f t="shared" si="3"/>
        <v>1.5799807045553318</v>
      </c>
    </row>
    <row r="14" spans="2:12" x14ac:dyDescent="0.35">
      <c r="B14" s="39" t="s">
        <v>35</v>
      </c>
      <c r="C14" s="11" t="s">
        <v>8</v>
      </c>
      <c r="D14" s="15">
        <v>0.64594119776984349</v>
      </c>
      <c r="E14" s="16">
        <v>36</v>
      </c>
      <c r="F14" s="11" t="s">
        <v>28</v>
      </c>
      <c r="G14" s="3">
        <v>0</v>
      </c>
      <c r="H14" s="15">
        <v>0.46970000000000001</v>
      </c>
      <c r="I14" s="15">
        <v>2.3378000000000001</v>
      </c>
      <c r="J14" s="15">
        <v>4.7933000000000003</v>
      </c>
      <c r="K14" s="19">
        <f t="shared" si="2"/>
        <v>2.0503464795962016</v>
      </c>
      <c r="L14" s="15">
        <f t="shared" si="3"/>
        <v>1.3244032608735525</v>
      </c>
    </row>
    <row r="15" spans="2:12" x14ac:dyDescent="0.35">
      <c r="B15" s="39"/>
      <c r="C15" s="21" t="s">
        <v>7</v>
      </c>
      <c r="D15" s="22">
        <v>0.68558233535517699</v>
      </c>
      <c r="E15" s="23">
        <v>32</v>
      </c>
      <c r="F15" s="21" t="s">
        <v>44</v>
      </c>
      <c r="G15" s="24">
        <v>0</v>
      </c>
      <c r="H15" s="22">
        <v>0.46970000000000001</v>
      </c>
      <c r="I15" s="22">
        <v>8.7992000000000008</v>
      </c>
      <c r="J15" s="22">
        <v>8.9939999999999998</v>
      </c>
      <c r="K15" s="25">
        <f t="shared" si="2"/>
        <v>1.0221383762160194</v>
      </c>
      <c r="L15" s="22">
        <f t="shared" si="3"/>
        <v>0.7007600150223271</v>
      </c>
    </row>
    <row r="16" spans="2:12" ht="15" thickBot="1" x14ac:dyDescent="0.4">
      <c r="B16" s="40"/>
      <c r="C16" s="13" t="s">
        <v>5</v>
      </c>
      <c r="D16" s="17">
        <v>0.881322643242332</v>
      </c>
      <c r="E16" s="18">
        <v>28</v>
      </c>
      <c r="F16" s="13" t="s">
        <v>28</v>
      </c>
      <c r="G16" s="14">
        <v>1</v>
      </c>
      <c r="H16" s="17">
        <v>0.26629999999999998</v>
      </c>
      <c r="I16" s="17">
        <v>4.0023999999999997</v>
      </c>
      <c r="J16" s="17">
        <v>5.6489000000000003</v>
      </c>
      <c r="K16" s="20">
        <f t="shared" si="2"/>
        <v>1.4113781730961426</v>
      </c>
      <c r="L16" s="17">
        <f t="shared" si="3"/>
        <v>1.2438795421276259</v>
      </c>
    </row>
    <row r="17" ht="15" thickTop="1" x14ac:dyDescent="0.35"/>
  </sheetData>
  <mergeCells count="8">
    <mergeCell ref="B14:B16"/>
    <mergeCell ref="C2:E2"/>
    <mergeCell ref="F2:K2"/>
    <mergeCell ref="L2:L3"/>
    <mergeCell ref="B2:B3"/>
    <mergeCell ref="B4:B6"/>
    <mergeCell ref="B7:B9"/>
    <mergeCell ref="B11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F7E4-DCCF-4737-93A3-315DADF3EA86}">
  <dimension ref="A3:H8"/>
  <sheetViews>
    <sheetView workbookViewId="0">
      <selection activeCell="J1" sqref="J1:Q1048576"/>
    </sheetView>
  </sheetViews>
  <sheetFormatPr defaultRowHeight="14.5" x14ac:dyDescent="0.35"/>
  <cols>
    <col min="2" max="3" width="8.81640625" bestFit="1" customWidth="1"/>
    <col min="4" max="4" width="9.36328125" bestFit="1" customWidth="1"/>
    <col min="5" max="5" width="8.81640625" bestFit="1" customWidth="1"/>
    <col min="6" max="6" width="9.36328125" bestFit="1" customWidth="1"/>
    <col min="7" max="7" width="8.81640625" bestFit="1" customWidth="1"/>
    <col min="8" max="8" width="58.81640625" bestFit="1" customWidth="1"/>
  </cols>
  <sheetData>
    <row r="3" spans="1:8" x14ac:dyDescent="0.35">
      <c r="B3" s="50" t="s">
        <v>17</v>
      </c>
      <c r="C3" s="50"/>
      <c r="D3" s="50" t="s">
        <v>18</v>
      </c>
      <c r="E3" s="50"/>
      <c r="F3" s="50" t="s">
        <v>19</v>
      </c>
      <c r="G3" s="50"/>
      <c r="H3" t="s">
        <v>23</v>
      </c>
    </row>
    <row r="4" spans="1:8" x14ac:dyDescent="0.35">
      <c r="B4" s="3" t="s">
        <v>20</v>
      </c>
      <c r="C4" s="3" t="s">
        <v>21</v>
      </c>
      <c r="D4" s="3" t="s">
        <v>20</v>
      </c>
      <c r="E4" s="3" t="s">
        <v>21</v>
      </c>
      <c r="F4" s="3" t="s">
        <v>20</v>
      </c>
      <c r="G4" s="3" t="s">
        <v>21</v>
      </c>
    </row>
    <row r="5" spans="1:8" x14ac:dyDescent="0.35">
      <c r="A5" t="s">
        <v>22</v>
      </c>
      <c r="B5" s="4">
        <v>0</v>
      </c>
      <c r="C5" s="4">
        <v>0</v>
      </c>
      <c r="D5" s="4">
        <v>240.94465700000001</v>
      </c>
      <c r="E5" s="4">
        <v>0</v>
      </c>
      <c r="F5" s="4">
        <v>894.88824899999997</v>
      </c>
      <c r="G5" s="4">
        <v>0</v>
      </c>
      <c r="H5" t="s">
        <v>24</v>
      </c>
    </row>
    <row r="6" spans="1:8" x14ac:dyDescent="0.35">
      <c r="A6" t="s">
        <v>12</v>
      </c>
      <c r="B6" s="4">
        <v>0</v>
      </c>
      <c r="C6" s="4">
        <v>0</v>
      </c>
      <c r="D6" s="4">
        <v>296.12965200000002</v>
      </c>
      <c r="E6" s="4">
        <v>0</v>
      </c>
      <c r="F6" s="4">
        <v>763.14148699999998</v>
      </c>
      <c r="G6" s="4">
        <v>0</v>
      </c>
      <c r="H6" t="s">
        <v>24</v>
      </c>
    </row>
    <row r="7" spans="1:8" x14ac:dyDescent="0.35">
      <c r="A7" t="s">
        <v>34</v>
      </c>
      <c r="B7" s="4">
        <v>0</v>
      </c>
      <c r="C7" s="4">
        <v>0</v>
      </c>
      <c r="D7" s="4">
        <v>328.57649900000001</v>
      </c>
      <c r="E7" s="4">
        <v>0</v>
      </c>
      <c r="F7" s="4">
        <v>723.22877700000004</v>
      </c>
      <c r="G7" s="4">
        <v>0</v>
      </c>
      <c r="H7" t="s">
        <v>24</v>
      </c>
    </row>
    <row r="8" spans="1:8" x14ac:dyDescent="0.35">
      <c r="A8" t="s">
        <v>35</v>
      </c>
      <c r="B8" s="4">
        <v>0</v>
      </c>
      <c r="C8" s="4">
        <v>0</v>
      </c>
      <c r="D8" s="4">
        <v>467.85916700000001</v>
      </c>
      <c r="E8" s="4">
        <v>0</v>
      </c>
      <c r="F8" s="4">
        <v>1203.154916</v>
      </c>
      <c r="G8" s="4">
        <v>0</v>
      </c>
      <c r="H8" t="s">
        <v>24</v>
      </c>
    </row>
  </sheetData>
  <mergeCells count="3">
    <mergeCell ref="B3:C3"/>
    <mergeCell ref="D3:E3"/>
    <mergeCell ref="F3:G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3B7E-FB81-4F92-B403-1985D826C59D}">
  <dimension ref="A1:M279"/>
  <sheetViews>
    <sheetView workbookViewId="0">
      <selection activeCell="D34" sqref="D34"/>
    </sheetView>
  </sheetViews>
  <sheetFormatPr defaultRowHeight="14.5" x14ac:dyDescent="0.35"/>
  <cols>
    <col min="1" max="1" width="17.7265625" bestFit="1" customWidth="1"/>
    <col min="2" max="2" width="15.81640625" bestFit="1" customWidth="1"/>
    <col min="3" max="3" width="16.08984375" bestFit="1" customWidth="1"/>
    <col min="4" max="4" width="17.54296875" bestFit="1" customWidth="1"/>
    <col min="5" max="5" width="14" bestFit="1" customWidth="1"/>
    <col min="6" max="6" width="14.26953125" bestFit="1" customWidth="1"/>
    <col min="7" max="7" width="15.6328125" bestFit="1" customWidth="1"/>
    <col min="8" max="8" width="13.90625" bestFit="1" customWidth="1"/>
    <col min="9" max="9" width="14.1796875" bestFit="1" customWidth="1"/>
    <col min="10" max="10" width="15.54296875" bestFit="1" customWidth="1"/>
    <col min="11" max="11" width="15.36328125" bestFit="1" customWidth="1"/>
    <col min="12" max="12" width="15.6328125" bestFit="1" customWidth="1"/>
    <col min="13" max="13" width="17.1796875" bestFit="1" customWidth="1"/>
  </cols>
  <sheetData>
    <row r="1" spans="1:13" x14ac:dyDescent="0.35">
      <c r="A1" s="1" t="s">
        <v>33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x14ac:dyDescent="0.35">
      <c r="A2" s="5">
        <v>45457</v>
      </c>
      <c r="B2">
        <v>368.48921384816663</v>
      </c>
      <c r="C2">
        <v>0.20594661641024459</v>
      </c>
      <c r="D2">
        <v>5.5873842036394922E-2</v>
      </c>
      <c r="E2">
        <v>424.16964850125402</v>
      </c>
      <c r="F2">
        <v>2.4588173504750439</v>
      </c>
      <c r="G2">
        <v>0.57800253879145669</v>
      </c>
      <c r="H2">
        <v>399.90168981076522</v>
      </c>
      <c r="I2">
        <v>0.56563188977003165</v>
      </c>
      <c r="J2">
        <v>0.14134277605325421</v>
      </c>
      <c r="K2">
        <v>384.48713726513591</v>
      </c>
      <c r="L2">
        <v>0.23985425587363809</v>
      </c>
      <c r="M2">
        <v>6.2402371884954053E-2</v>
      </c>
    </row>
    <row r="3" spans="1:13" x14ac:dyDescent="0.35">
      <c r="A3" s="5">
        <v>45460</v>
      </c>
      <c r="B3">
        <v>368.6135079829358</v>
      </c>
      <c r="C3">
        <v>8.1652481641071972E-2</v>
      </c>
      <c r="D3">
        <v>2.2148791987757439E-2</v>
      </c>
      <c r="E3">
        <v>426.61013194184858</v>
      </c>
      <c r="F3">
        <v>1.8333909880425381E-2</v>
      </c>
      <c r="G3">
        <v>4.2974872275669939E-3</v>
      </c>
      <c r="H3">
        <v>401.69839996450122</v>
      </c>
      <c r="I3">
        <v>0.35493713767971258</v>
      </c>
      <c r="J3">
        <v>8.8320092215306858E-2</v>
      </c>
      <c r="K3">
        <v>384.42238380275541</v>
      </c>
      <c r="L3">
        <v>0.17510079349312949</v>
      </c>
      <c r="M3">
        <v>4.5559438872966762E-2</v>
      </c>
    </row>
    <row r="4" spans="1:13" x14ac:dyDescent="0.35">
      <c r="A4" s="5">
        <v>45461</v>
      </c>
      <c r="B4">
        <v>368.58875927519892</v>
      </c>
      <c r="C4">
        <v>0.106401189377948</v>
      </c>
      <c r="D4">
        <v>2.886301641177854E-2</v>
      </c>
      <c r="E4">
        <v>427.22015830505671</v>
      </c>
      <c r="F4">
        <v>0.59169245332765286</v>
      </c>
      <c r="G4">
        <v>0.13859422773257379</v>
      </c>
      <c r="H4">
        <v>402.59961779002998</v>
      </c>
      <c r="I4">
        <v>0.54628068784916195</v>
      </c>
      <c r="J4">
        <v>0.13578044659572261</v>
      </c>
      <c r="K4">
        <v>384.70735265868558</v>
      </c>
      <c r="L4">
        <v>0.46006964942330342</v>
      </c>
      <c r="M4">
        <v>0.1196610640167781</v>
      </c>
    </row>
    <row r="5" spans="1:13" x14ac:dyDescent="0.35">
      <c r="A5" s="5">
        <v>45462</v>
      </c>
      <c r="B5">
        <v>368.46302813096099</v>
      </c>
      <c r="C5">
        <v>0.23213233361587979</v>
      </c>
      <c r="D5">
        <v>6.298033100823229E-2</v>
      </c>
      <c r="E5">
        <v>427.0542415527284</v>
      </c>
      <c r="F5">
        <v>1.172938182027679</v>
      </c>
      <c r="G5">
        <v>0.27503559653689319</v>
      </c>
      <c r="H5">
        <v>401.37659197028267</v>
      </c>
      <c r="I5">
        <v>0.67674513189820118</v>
      </c>
      <c r="J5">
        <v>0.16846400847413859</v>
      </c>
      <c r="K5">
        <v>384.31659155367208</v>
      </c>
      <c r="L5">
        <v>0.89832198700167964</v>
      </c>
      <c r="M5">
        <v>0.23401880844404341</v>
      </c>
    </row>
    <row r="6" spans="1:13" x14ac:dyDescent="0.35">
      <c r="A6" s="5">
        <v>45463</v>
      </c>
      <c r="B6">
        <v>368.21025501861908</v>
      </c>
      <c r="C6">
        <v>0.48490544595779278</v>
      </c>
      <c r="D6">
        <v>0.13160588476333429</v>
      </c>
      <c r="E6">
        <v>425.71591862561678</v>
      </c>
      <c r="F6">
        <v>0.58177773594400151</v>
      </c>
      <c r="G6">
        <v>0.13675211735318599</v>
      </c>
      <c r="H6">
        <v>403.11913085482558</v>
      </c>
      <c r="I6">
        <v>1.0657937526447649</v>
      </c>
      <c r="J6">
        <v>0.26473676015004372</v>
      </c>
      <c r="K6">
        <v>384.74357932412897</v>
      </c>
      <c r="L6">
        <v>1.3253097574586259</v>
      </c>
      <c r="M6">
        <v>0.34506003113076461</v>
      </c>
    </row>
    <row r="7" spans="1:13" x14ac:dyDescent="0.35">
      <c r="A7" s="5">
        <v>45464</v>
      </c>
      <c r="B7">
        <v>367.95475880346089</v>
      </c>
      <c r="C7">
        <v>0.74040166111598182</v>
      </c>
      <c r="D7">
        <v>0.2010185956041835</v>
      </c>
      <c r="E7">
        <v>426.38357977301229</v>
      </c>
      <c r="F7">
        <v>5.7642656955439966</v>
      </c>
      <c r="G7">
        <v>1.3610970487573191</v>
      </c>
      <c r="H7">
        <v>402.57114648055489</v>
      </c>
      <c r="I7">
        <v>0.51780937837406782</v>
      </c>
      <c r="J7">
        <v>0.1287083326295087</v>
      </c>
      <c r="K7">
        <v>384.51249393290362</v>
      </c>
      <c r="L7">
        <v>1.0942243662332201</v>
      </c>
      <c r="M7">
        <v>0.28497995346525162</v>
      </c>
    </row>
    <row r="8" spans="1:13" x14ac:dyDescent="0.35">
      <c r="A8" s="5">
        <v>45467</v>
      </c>
      <c r="B8">
        <v>368.25380293705672</v>
      </c>
      <c r="C8">
        <v>1.9831554985812549</v>
      </c>
      <c r="D8">
        <v>0.53998352201001498</v>
      </c>
      <c r="E8">
        <v>423.72922616642762</v>
      </c>
      <c r="F8">
        <v>9.2061666450061352</v>
      </c>
      <c r="G8">
        <v>2.1965145343926551</v>
      </c>
      <c r="H8">
        <v>401.38565115780898</v>
      </c>
      <c r="I8">
        <v>0.66768594437189677</v>
      </c>
      <c r="J8">
        <v>0.16620700616431511</v>
      </c>
      <c r="K8">
        <v>385.07435677318222</v>
      </c>
      <c r="L8">
        <v>1.6560872065118131</v>
      </c>
      <c r="M8">
        <v>0.43099625155789978</v>
      </c>
    </row>
    <row r="9" spans="1:13" x14ac:dyDescent="0.35">
      <c r="A9" s="5">
        <v>45468</v>
      </c>
      <c r="B9">
        <v>367.93388256681328</v>
      </c>
      <c r="C9">
        <v>1.6632351283378739</v>
      </c>
      <c r="D9">
        <v>0.45307133376741499</v>
      </c>
      <c r="E9">
        <v>423.93383427851052</v>
      </c>
      <c r="F9">
        <v>9.4107747570890297</v>
      </c>
      <c r="G9">
        <v>2.2447843954001918</v>
      </c>
      <c r="H9">
        <v>402.6814668378741</v>
      </c>
      <c r="I9">
        <v>2.2141451373389032</v>
      </c>
      <c r="J9">
        <v>0.55136611520469536</v>
      </c>
      <c r="K9">
        <v>384.58082224712251</v>
      </c>
      <c r="L9">
        <v>1.1625526804520521</v>
      </c>
      <c r="M9">
        <v>0.30274845187809668</v>
      </c>
    </row>
    <row r="10" spans="1:13" x14ac:dyDescent="0.35">
      <c r="A10" s="5">
        <v>45469</v>
      </c>
      <c r="B10">
        <v>367.8851441983573</v>
      </c>
      <c r="C10">
        <v>1.6144967598818309</v>
      </c>
      <c r="D10">
        <v>0.4398240205344528</v>
      </c>
      <c r="E10">
        <v>423.33491143594472</v>
      </c>
      <c r="F10">
        <v>8.8118519145232881</v>
      </c>
      <c r="G10">
        <v>2.1034237830200611</v>
      </c>
      <c r="H10">
        <v>397.19409055267357</v>
      </c>
      <c r="I10">
        <v>3.2732311478616229</v>
      </c>
      <c r="J10">
        <v>0.82070690585758654</v>
      </c>
      <c r="K10">
        <v>384.08606940655022</v>
      </c>
      <c r="L10">
        <v>1.4986096342779549</v>
      </c>
      <c r="M10">
        <v>0.39093814439715968</v>
      </c>
    </row>
    <row r="11" spans="1:13" x14ac:dyDescent="0.35">
      <c r="A11" s="5">
        <v>45470</v>
      </c>
      <c r="B11">
        <v>367.92840859179648</v>
      </c>
      <c r="C11">
        <v>1.6577611533210761</v>
      </c>
      <c r="D11">
        <v>0.45158356979764952</v>
      </c>
      <c r="E11">
        <v>423.22161564681232</v>
      </c>
      <c r="F11">
        <v>8.6985561253908941</v>
      </c>
      <c r="G11">
        <v>2.0766604392069841</v>
      </c>
      <c r="H11">
        <v>397.35762268516169</v>
      </c>
      <c r="I11">
        <v>3.1096990153734509</v>
      </c>
      <c r="J11">
        <v>0.77954419381254847</v>
      </c>
      <c r="K11">
        <v>384.25252185355538</v>
      </c>
      <c r="L11">
        <v>0.83425228688503239</v>
      </c>
      <c r="M11">
        <v>0.21734636675224461</v>
      </c>
    </row>
    <row r="12" spans="1:13" x14ac:dyDescent="0.35">
      <c r="A12" s="5">
        <v>45471</v>
      </c>
      <c r="B12">
        <v>367.7250928952065</v>
      </c>
      <c r="C12">
        <v>1.454445456731037</v>
      </c>
      <c r="D12">
        <v>0.39630896388304082</v>
      </c>
      <c r="E12">
        <v>424.49309955330313</v>
      </c>
      <c r="F12">
        <v>9.9700400318816378</v>
      </c>
      <c r="G12">
        <v>2.3766026253598471</v>
      </c>
      <c r="H12">
        <v>398.77724996633168</v>
      </c>
      <c r="I12">
        <v>9.7750033668432934E-2</v>
      </c>
      <c r="J12">
        <v>2.450943595346437E-2</v>
      </c>
      <c r="K12">
        <v>384.14736789471272</v>
      </c>
      <c r="L12">
        <v>1.5599081224403899</v>
      </c>
      <c r="M12">
        <v>0.40689637829205311</v>
      </c>
    </row>
    <row r="13" spans="1:13" x14ac:dyDescent="0.35">
      <c r="A13" s="5">
        <v>45474</v>
      </c>
      <c r="B13">
        <v>367.51232289799282</v>
      </c>
      <c r="C13">
        <v>1.2416754595173529</v>
      </c>
      <c r="D13">
        <v>0.33843125548361919</v>
      </c>
      <c r="E13">
        <v>424.66413106840082</v>
      </c>
      <c r="F13">
        <v>13.22307013135719</v>
      </c>
      <c r="G13">
        <v>3.1630159118234662</v>
      </c>
      <c r="H13">
        <v>396.25726596345783</v>
      </c>
      <c r="I13">
        <v>5.7960711387231072</v>
      </c>
      <c r="J13">
        <v>1.4520842179636031</v>
      </c>
      <c r="K13">
        <v>384.66820081361737</v>
      </c>
      <c r="L13">
        <v>1.249931246946971</v>
      </c>
      <c r="M13">
        <v>0.32546628410942208</v>
      </c>
    </row>
    <row r="14" spans="1:13" x14ac:dyDescent="0.35">
      <c r="A14" s="5">
        <v>45475</v>
      </c>
      <c r="B14">
        <v>367.48608609708748</v>
      </c>
      <c r="C14">
        <v>0.5210860970874478</v>
      </c>
      <c r="D14">
        <v>0.14189810783901929</v>
      </c>
      <c r="E14">
        <v>423.79749608104498</v>
      </c>
      <c r="F14">
        <v>12.35643514400147</v>
      </c>
      <c r="G14">
        <v>2.9587798695777519</v>
      </c>
      <c r="H14">
        <v>397.25621587255949</v>
      </c>
      <c r="I14">
        <v>2.8931483965845359</v>
      </c>
      <c r="J14">
        <v>0.72564036887487138</v>
      </c>
      <c r="K14">
        <v>384.93893141258269</v>
      </c>
      <c r="L14">
        <v>1.5206618459123431</v>
      </c>
      <c r="M14">
        <v>0.39582159026408392</v>
      </c>
    </row>
    <row r="15" spans="1:13" x14ac:dyDescent="0.35">
      <c r="A15" s="5">
        <v>45476</v>
      </c>
      <c r="B15">
        <v>367.33986222673622</v>
      </c>
      <c r="C15">
        <v>0.66421016920884313</v>
      </c>
      <c r="D15">
        <v>0.18065292659268639</v>
      </c>
      <c r="E15">
        <v>424.70113940360739</v>
      </c>
      <c r="F15">
        <v>13.26007846656387</v>
      </c>
      <c r="G15">
        <v>3.1717280771528071</v>
      </c>
      <c r="H15">
        <v>397.95115441549251</v>
      </c>
      <c r="I15">
        <v>0.92384558450766008</v>
      </c>
      <c r="J15">
        <v>0.2318813405881088</v>
      </c>
      <c r="K15">
        <v>384.61462570856611</v>
      </c>
      <c r="L15">
        <v>2.0271659362938408</v>
      </c>
      <c r="M15">
        <v>0.52845683677288924</v>
      </c>
    </row>
    <row r="16" spans="1:13" x14ac:dyDescent="0.35">
      <c r="A16" s="5">
        <v>45477</v>
      </c>
      <c r="B16">
        <v>367.17146518647962</v>
      </c>
      <c r="C16">
        <v>0.83260720946543643</v>
      </c>
      <c r="D16">
        <v>0.22650568929521461</v>
      </c>
      <c r="E16">
        <v>424.15980885466371</v>
      </c>
      <c r="F16">
        <v>12.71874791762014</v>
      </c>
      <c r="G16">
        <v>3.044216055158143</v>
      </c>
      <c r="H16">
        <v>396.75068254496227</v>
      </c>
      <c r="I16">
        <v>2.1243174550378399</v>
      </c>
      <c r="J16">
        <v>0.53399921637592129</v>
      </c>
      <c r="K16">
        <v>384.65594881144159</v>
      </c>
      <c r="L16">
        <v>1.237679244771243</v>
      </c>
      <c r="M16">
        <v>0.32228115855385991</v>
      </c>
    </row>
    <row r="17" spans="1:13" x14ac:dyDescent="0.35">
      <c r="A17" s="5">
        <v>45478</v>
      </c>
      <c r="B17">
        <v>366.79419992435948</v>
      </c>
      <c r="C17">
        <v>0.1708000756404999</v>
      </c>
      <c r="D17">
        <v>4.6554803171968903E-2</v>
      </c>
      <c r="E17">
        <v>423.83801869787311</v>
      </c>
      <c r="F17">
        <v>12.39695776082948</v>
      </c>
      <c r="G17">
        <v>2.9683391008063849</v>
      </c>
      <c r="H17">
        <v>398.40731445291988</v>
      </c>
      <c r="I17">
        <v>1.131018281099387</v>
      </c>
      <c r="J17">
        <v>0.28428844480316812</v>
      </c>
      <c r="K17">
        <v>383.94764666137831</v>
      </c>
      <c r="L17">
        <v>0.52937709470791106</v>
      </c>
      <c r="M17">
        <v>0.13797253266343609</v>
      </c>
    </row>
    <row r="18" spans="1:13" x14ac:dyDescent="0.35">
      <c r="A18" s="5">
        <v>45481</v>
      </c>
      <c r="B18">
        <v>366.87507126772499</v>
      </c>
      <c r="C18">
        <v>0.60442382924958338</v>
      </c>
      <c r="D18">
        <v>0.16488504640420559</v>
      </c>
      <c r="E18">
        <v>416.34898656313709</v>
      </c>
      <c r="F18">
        <v>4.9079256260935722</v>
      </c>
      <c r="G18">
        <v>1.185789957469257</v>
      </c>
      <c r="H18">
        <v>399.02304315678242</v>
      </c>
      <c r="I18">
        <v>1.7467469849618169</v>
      </c>
      <c r="J18">
        <v>0.43871617083961878</v>
      </c>
      <c r="K18">
        <v>383.72210488559881</v>
      </c>
      <c r="L18">
        <v>0.30383531892834981</v>
      </c>
      <c r="M18">
        <v>7.9212443783912401E-2</v>
      </c>
    </row>
    <row r="19" spans="1:13" x14ac:dyDescent="0.35">
      <c r="A19" s="5">
        <v>45482</v>
      </c>
      <c r="B19">
        <v>366.16095423828671</v>
      </c>
      <c r="C19">
        <v>0.93431076878295016</v>
      </c>
      <c r="D19">
        <v>0.25548991306692398</v>
      </c>
      <c r="E19">
        <v>418.05414727604898</v>
      </c>
      <c r="F19">
        <v>6.6130863390054628</v>
      </c>
      <c r="G19">
        <v>1.594484518663208</v>
      </c>
      <c r="H19">
        <v>399.59274301497231</v>
      </c>
      <c r="I19">
        <v>2.3164468431517662</v>
      </c>
      <c r="J19">
        <v>0.58138708601747258</v>
      </c>
      <c r="K19">
        <v>384.15481496409927</v>
      </c>
      <c r="L19">
        <v>0.73654539742892666</v>
      </c>
      <c r="M19">
        <v>0.19191537907538489</v>
      </c>
    </row>
    <row r="20" spans="1:13" x14ac:dyDescent="0.35">
      <c r="A20" s="5">
        <v>45483</v>
      </c>
      <c r="B20">
        <v>366.29598897058747</v>
      </c>
      <c r="C20">
        <v>1.4180106339935039</v>
      </c>
      <c r="D20">
        <v>0.38787229781056082</v>
      </c>
      <c r="E20">
        <v>419.39614720984309</v>
      </c>
      <c r="F20">
        <v>11.060346213898191</v>
      </c>
      <c r="G20">
        <v>2.672446372976867</v>
      </c>
      <c r="H20">
        <v>400.13394295674431</v>
      </c>
      <c r="I20">
        <v>1.258942956744193</v>
      </c>
      <c r="J20">
        <v>0.31512612414210378</v>
      </c>
      <c r="K20">
        <v>384.03717703284582</v>
      </c>
      <c r="L20">
        <v>0.61890746617535797</v>
      </c>
      <c r="M20">
        <v>0.161288181331606</v>
      </c>
    </row>
    <row r="21" spans="1:13" x14ac:dyDescent="0.35">
      <c r="A21" s="5">
        <v>45484</v>
      </c>
      <c r="B21">
        <v>365.65244455709262</v>
      </c>
      <c r="C21">
        <v>0.77446622049865255</v>
      </c>
      <c r="D21">
        <v>0.2120284648600757</v>
      </c>
      <c r="E21">
        <v>419.30127587501391</v>
      </c>
      <c r="F21">
        <v>10.96547487906895</v>
      </c>
      <c r="G21">
        <v>2.6498268831855678</v>
      </c>
      <c r="H21">
        <v>398.68586983392657</v>
      </c>
      <c r="I21">
        <v>0.18913016607348249</v>
      </c>
      <c r="J21">
        <v>4.7427142736544782E-2</v>
      </c>
      <c r="K21">
        <v>384.72986113869081</v>
      </c>
      <c r="L21">
        <v>1.3115915720204041</v>
      </c>
      <c r="M21">
        <v>0.34149443827091469</v>
      </c>
    </row>
    <row r="22" spans="1:13" x14ac:dyDescent="0.35">
      <c r="A22" s="5">
        <v>45485</v>
      </c>
      <c r="B22">
        <v>365.40881275242538</v>
      </c>
      <c r="C22">
        <v>0.87983304024930931</v>
      </c>
      <c r="D22">
        <v>0.2410706910457649</v>
      </c>
      <c r="E22">
        <v>418.44697185693821</v>
      </c>
      <c r="F22">
        <v>11.672690160073669</v>
      </c>
      <c r="G22">
        <v>2.8289843747492922</v>
      </c>
      <c r="H22">
        <v>399.24547210091242</v>
      </c>
      <c r="I22">
        <v>0.37047210091225219</v>
      </c>
      <c r="J22">
        <v>9.2836135361131333E-2</v>
      </c>
      <c r="K22">
        <v>384.71153022195313</v>
      </c>
      <c r="L22">
        <v>1.293260655282666</v>
      </c>
      <c r="M22">
        <v>0.33672971824255421</v>
      </c>
    </row>
    <row r="23" spans="1:13" x14ac:dyDescent="0.35">
      <c r="A23" s="5">
        <v>45488</v>
      </c>
      <c r="B23">
        <v>365.15080980908641</v>
      </c>
      <c r="C23">
        <v>7.5833660417401916E-2</v>
      </c>
      <c r="D23">
        <v>2.0765608269256459E-2</v>
      </c>
      <c r="E23">
        <v>420.1104920037601</v>
      </c>
      <c r="F23">
        <v>13.33621030689557</v>
      </c>
      <c r="G23">
        <v>3.225651440456673</v>
      </c>
      <c r="H23">
        <v>398.92008142481399</v>
      </c>
      <c r="I23">
        <v>4.5081424813872673E-2</v>
      </c>
      <c r="J23">
        <v>1.1301504825865789E-2</v>
      </c>
      <c r="K23">
        <v>385.73234835702618</v>
      </c>
      <c r="L23">
        <v>2.3140787903558362</v>
      </c>
      <c r="M23">
        <v>0.60172318306202033</v>
      </c>
    </row>
    <row r="24" spans="1:13" x14ac:dyDescent="0.35">
      <c r="A24" s="5">
        <v>45489</v>
      </c>
      <c r="B24">
        <v>364.94008713744807</v>
      </c>
      <c r="C24">
        <v>0.28655633205562481</v>
      </c>
      <c r="D24">
        <v>7.8490657008550402E-2</v>
      </c>
      <c r="E24">
        <v>419.52238766667352</v>
      </c>
      <c r="F24">
        <v>12.748105969808931</v>
      </c>
      <c r="G24">
        <v>3.0856002311199568</v>
      </c>
      <c r="H24">
        <v>398.75858359522908</v>
      </c>
      <c r="I24">
        <v>0.1164164047709733</v>
      </c>
      <c r="J24">
        <v>2.9190447133943719E-2</v>
      </c>
      <c r="K24">
        <v>385.03817612681058</v>
      </c>
      <c r="L24">
        <v>2.4507163545383719</v>
      </c>
      <c r="M24">
        <v>0.6385186319807995</v>
      </c>
    </row>
    <row r="25" spans="1:13" x14ac:dyDescent="0.35">
      <c r="A25" s="5">
        <v>45490</v>
      </c>
      <c r="B25">
        <v>364.92205712593329</v>
      </c>
      <c r="C25">
        <v>0.39307741375722571</v>
      </c>
      <c r="D25">
        <v>0.1077734882552405</v>
      </c>
      <c r="E25">
        <v>419.32023150102191</v>
      </c>
      <c r="F25">
        <v>12.545949804157321</v>
      </c>
      <c r="G25">
        <v>3.0374126940005439</v>
      </c>
      <c r="H25">
        <v>401.26738880677408</v>
      </c>
      <c r="I25">
        <v>3.9910926349535321</v>
      </c>
      <c r="J25">
        <v>0.99959281127131061</v>
      </c>
      <c r="K25">
        <v>384.67148947374233</v>
      </c>
      <c r="L25">
        <v>2.0840297014700009</v>
      </c>
      <c r="M25">
        <v>0.54324024594772724</v>
      </c>
    </row>
    <row r="26" spans="1:13" x14ac:dyDescent="0.35">
      <c r="A26" s="5">
        <v>45491</v>
      </c>
      <c r="B26">
        <v>364.77296399020543</v>
      </c>
      <c r="C26">
        <v>0.59331735272525066</v>
      </c>
      <c r="D26">
        <v>0.16278626184337469</v>
      </c>
      <c r="E26">
        <v>417.09865085798532</v>
      </c>
      <c r="F26">
        <v>10.32436916112073</v>
      </c>
      <c r="G26">
        <v>2.5063013368104232</v>
      </c>
      <c r="H26">
        <v>394.78213947865561</v>
      </c>
      <c r="I26">
        <v>2.494156693164939</v>
      </c>
      <c r="J26">
        <v>0.62979108128975747</v>
      </c>
      <c r="K26">
        <v>384.39199994408398</v>
      </c>
      <c r="L26">
        <v>1.471999944083962</v>
      </c>
      <c r="M26">
        <v>0.38367702947203441</v>
      </c>
    </row>
    <row r="27" spans="1:13" x14ac:dyDescent="0.35">
      <c r="A27" s="5">
        <v>45492</v>
      </c>
      <c r="B27">
        <v>364.27468242298301</v>
      </c>
      <c r="C27">
        <v>0.4447042738480036</v>
      </c>
      <c r="D27">
        <v>0.1221539424012396</v>
      </c>
      <c r="E27">
        <v>418.64405214122849</v>
      </c>
      <c r="F27">
        <v>11.86977044436401</v>
      </c>
      <c r="G27">
        <v>2.8760617393052148</v>
      </c>
      <c r="H27">
        <v>396.85499865808799</v>
      </c>
      <c r="I27">
        <v>2.020001341912121</v>
      </c>
      <c r="J27">
        <v>0.50771023973423901</v>
      </c>
      <c r="K27">
        <v>384.66981277719151</v>
      </c>
      <c r="L27">
        <v>1.7498127771914369</v>
      </c>
      <c r="M27">
        <v>0.45592391875564231</v>
      </c>
    </row>
    <row r="28" spans="1:13" x14ac:dyDescent="0.35">
      <c r="A28" s="5">
        <v>45495</v>
      </c>
      <c r="B28">
        <v>364.17660014549438</v>
      </c>
      <c r="C28">
        <v>0.69662686636036142</v>
      </c>
      <c r="D28">
        <v>0.1914713318899243</v>
      </c>
      <c r="E28">
        <v>419.29730524248993</v>
      </c>
      <c r="F28">
        <v>12.52302354562539</v>
      </c>
      <c r="G28">
        <v>3.03194632126834</v>
      </c>
      <c r="H28">
        <v>396.67188732248923</v>
      </c>
      <c r="I28">
        <v>2.2031126775108869</v>
      </c>
      <c r="J28">
        <v>0.55386117716473782</v>
      </c>
      <c r="K28">
        <v>384.76157671718852</v>
      </c>
      <c r="L28">
        <v>1.841576717188502</v>
      </c>
      <c r="M28">
        <v>0.47977619185901887</v>
      </c>
    </row>
    <row r="29" spans="1:13" x14ac:dyDescent="0.35">
      <c r="A29" s="5">
        <v>45496</v>
      </c>
      <c r="B29">
        <v>363.96322651984133</v>
      </c>
      <c r="C29">
        <v>0.83359546503447746</v>
      </c>
      <c r="D29">
        <v>0.22929546242967841</v>
      </c>
      <c r="E29">
        <v>419.11480213940467</v>
      </c>
      <c r="F29">
        <v>13.908057223923381</v>
      </c>
      <c r="G29">
        <v>3.3744252527702812</v>
      </c>
      <c r="H29">
        <v>395.61634445984328</v>
      </c>
      <c r="I29">
        <v>3.258655540156838</v>
      </c>
      <c r="J29">
        <v>0.8203124081540043</v>
      </c>
      <c r="K29">
        <v>384.9470473238984</v>
      </c>
      <c r="L29">
        <v>2.0270473238983868</v>
      </c>
      <c r="M29">
        <v>0.5279683067434312</v>
      </c>
    </row>
    <row r="30" spans="1:13" x14ac:dyDescent="0.35">
      <c r="A30" s="5">
        <v>45497</v>
      </c>
      <c r="B30">
        <v>363.59041601668002</v>
      </c>
      <c r="C30">
        <v>1.8655470209195639</v>
      </c>
      <c r="D30">
        <v>0.51440995646122756</v>
      </c>
      <c r="E30">
        <v>419.52780639034751</v>
      </c>
      <c r="F30">
        <v>12.753524693482969</v>
      </c>
      <c r="G30">
        <v>3.0868915563328181</v>
      </c>
      <c r="H30">
        <v>396.53952475054462</v>
      </c>
      <c r="I30">
        <v>3.9277969499905789</v>
      </c>
      <c r="J30">
        <v>0.98563694088207865</v>
      </c>
      <c r="K30">
        <v>384.56500228571872</v>
      </c>
      <c r="L30">
        <v>1.645002285718647</v>
      </c>
      <c r="M30">
        <v>0.42867346744744461</v>
      </c>
    </row>
    <row r="31" spans="1:13" x14ac:dyDescent="0.35">
      <c r="A31" s="5">
        <v>45498</v>
      </c>
      <c r="B31">
        <v>363.74467755772599</v>
      </c>
      <c r="C31">
        <v>3.7834703075556599</v>
      </c>
      <c r="D31">
        <v>1.045582297167573</v>
      </c>
      <c r="E31">
        <v>421.15699514562772</v>
      </c>
      <c r="F31">
        <v>14.382713448763131</v>
      </c>
      <c r="G31">
        <v>3.4743737435829019</v>
      </c>
      <c r="H31">
        <v>397.53103386044558</v>
      </c>
      <c r="I31">
        <v>2.9362878400896189</v>
      </c>
      <c r="J31">
        <v>0.73591325586766387</v>
      </c>
      <c r="K31">
        <v>385.46563339184479</v>
      </c>
      <c r="L31">
        <v>1.2183503825825139</v>
      </c>
      <c r="M31">
        <v>0.31657267446649279</v>
      </c>
    </row>
    <row r="32" spans="1:13" x14ac:dyDescent="0.35">
      <c r="A32" s="5">
        <v>45499</v>
      </c>
      <c r="B32">
        <v>363.19818580285488</v>
      </c>
      <c r="C32">
        <v>5.0093241669854356</v>
      </c>
      <c r="D32">
        <v>1.388803468199483</v>
      </c>
      <c r="E32">
        <v>420.21617534940572</v>
      </c>
      <c r="F32">
        <v>11.8803743534607</v>
      </c>
      <c r="G32">
        <v>2.8677438935970372</v>
      </c>
      <c r="H32">
        <v>398.60982642289332</v>
      </c>
      <c r="I32">
        <v>0.26517357710679329</v>
      </c>
      <c r="J32">
        <v>6.6502475864330918E-2</v>
      </c>
      <c r="K32">
        <v>384.7691034465812</v>
      </c>
      <c r="L32">
        <v>0.52182043731892236</v>
      </c>
      <c r="M32">
        <v>0.13571113607184079</v>
      </c>
    </row>
    <row r="33" spans="1:13" x14ac:dyDescent="0.35">
      <c r="A33" s="5">
        <v>45502</v>
      </c>
      <c r="B33">
        <v>363.61582201019343</v>
      </c>
      <c r="C33">
        <v>6.851176200101861</v>
      </c>
      <c r="D33">
        <v>1.902099378355447</v>
      </c>
      <c r="E33">
        <v>421.33962612396277</v>
      </c>
      <c r="F33">
        <v>13.003825128017811</v>
      </c>
      <c r="G33">
        <v>3.134677658987346</v>
      </c>
      <c r="H33">
        <v>398.43016647734993</v>
      </c>
      <c r="I33">
        <v>0.44483352265018539</v>
      </c>
      <c r="J33">
        <v>0.11158425690768969</v>
      </c>
      <c r="K33">
        <v>384.64996338682022</v>
      </c>
      <c r="L33">
        <v>1.231693820149758</v>
      </c>
      <c r="M33">
        <v>0.32072510417817002</v>
      </c>
    </row>
    <row r="34" spans="1:13" x14ac:dyDescent="0.35">
      <c r="A34" s="5">
        <v>45503</v>
      </c>
      <c r="B34">
        <v>363.17773288155001</v>
      </c>
      <c r="C34">
        <v>7.1273313230067856</v>
      </c>
      <c r="D34">
        <v>1.9819389653201711</v>
      </c>
      <c r="E34">
        <v>420.60836680520651</v>
      </c>
      <c r="F34">
        <v>12.27256580926155</v>
      </c>
      <c r="G34">
        <v>2.961011437432659</v>
      </c>
      <c r="H34">
        <v>395.2989780095424</v>
      </c>
      <c r="I34">
        <v>1.9773181622781519</v>
      </c>
      <c r="J34">
        <v>0.4989603452670125</v>
      </c>
      <c r="K34">
        <v>384.20148602250129</v>
      </c>
      <c r="L34">
        <v>0.78321645583093868</v>
      </c>
      <c r="M34">
        <v>0.20406365264265369</v>
      </c>
    </row>
    <row r="35" spans="1:13" x14ac:dyDescent="0.35">
      <c r="A35" s="5">
        <v>45504</v>
      </c>
      <c r="B35">
        <v>363.23236871181172</v>
      </c>
      <c r="C35">
        <v>8.2560281269776397</v>
      </c>
      <c r="D35">
        <v>2.2990609888490212</v>
      </c>
      <c r="E35">
        <v>423.29948152382912</v>
      </c>
      <c r="F35">
        <v>11.85842058678548</v>
      </c>
      <c r="G35">
        <v>2.8412231067215279</v>
      </c>
      <c r="H35">
        <v>396.49345585938289</v>
      </c>
      <c r="I35">
        <v>0.78284031243759955</v>
      </c>
      <c r="J35">
        <v>0.19724619398367421</v>
      </c>
      <c r="K35">
        <v>384.24751475892231</v>
      </c>
      <c r="L35">
        <v>0.82924519225184667</v>
      </c>
      <c r="M35">
        <v>0.2160432858109865</v>
      </c>
    </row>
    <row r="36" spans="1:13" x14ac:dyDescent="0.35">
      <c r="A36" s="5">
        <v>45505</v>
      </c>
      <c r="B36">
        <v>362.40817323550021</v>
      </c>
      <c r="C36">
        <v>7.4318326506661379</v>
      </c>
      <c r="D36">
        <v>2.071924472160378</v>
      </c>
      <c r="E36">
        <v>423.5376212197578</v>
      </c>
      <c r="F36">
        <v>12.09656028271422</v>
      </c>
      <c r="G36">
        <v>2.8974536814444281</v>
      </c>
      <c r="H36">
        <v>397.14458924794479</v>
      </c>
      <c r="I36">
        <v>0.131706923875754</v>
      </c>
      <c r="J36">
        <v>3.3157971119090357E-2</v>
      </c>
      <c r="K36">
        <v>384.43634694944041</v>
      </c>
      <c r="L36">
        <v>1.848887177168137</v>
      </c>
      <c r="M36">
        <v>0.48209381794037021</v>
      </c>
    </row>
    <row r="37" spans="1:13" x14ac:dyDescent="0.35">
      <c r="A37" s="5">
        <v>45506</v>
      </c>
      <c r="B37">
        <v>362.6004232072267</v>
      </c>
      <c r="C37">
        <v>7.6240826223926774</v>
      </c>
      <c r="D37">
        <v>2.124952480931217</v>
      </c>
      <c r="E37">
        <v>424.44892624211332</v>
      </c>
      <c r="F37">
        <v>13.007865305069741</v>
      </c>
      <c r="G37">
        <v>3.11233906484915</v>
      </c>
      <c r="H37">
        <v>395.7435303774127</v>
      </c>
      <c r="I37">
        <v>7.2397522108303747E-2</v>
      </c>
      <c r="J37">
        <v>1.829572421935655E-2</v>
      </c>
      <c r="K37">
        <v>384.20897406837429</v>
      </c>
      <c r="L37">
        <v>1.621514296102021</v>
      </c>
      <c r="M37">
        <v>0.42293214327572021</v>
      </c>
    </row>
    <row r="38" spans="1:13" x14ac:dyDescent="0.35">
      <c r="A38" s="5">
        <v>45509</v>
      </c>
      <c r="B38">
        <v>362.36135669155561</v>
      </c>
      <c r="C38">
        <v>5.5967108814639914</v>
      </c>
      <c r="D38">
        <v>1.556531362235414</v>
      </c>
      <c r="E38">
        <v>425.16414869844351</v>
      </c>
      <c r="F38">
        <v>13.72308776139994</v>
      </c>
      <c r="G38">
        <v>3.2806603648521708</v>
      </c>
      <c r="H38">
        <v>396.16299989827252</v>
      </c>
      <c r="I38">
        <v>0.49186704296806738</v>
      </c>
      <c r="J38">
        <v>0.1242348675366179</v>
      </c>
      <c r="K38">
        <v>384.61678196552441</v>
      </c>
      <c r="L38">
        <v>2.0293221932521419</v>
      </c>
      <c r="M38">
        <v>0.52901745919848286</v>
      </c>
    </row>
    <row r="39" spans="1:13" x14ac:dyDescent="0.35">
      <c r="A39" s="5">
        <v>45510</v>
      </c>
      <c r="B39">
        <v>361.69847118499058</v>
      </c>
      <c r="C39">
        <v>4.9338253748990164</v>
      </c>
      <c r="D39">
        <v>1.373438735598387</v>
      </c>
      <c r="E39">
        <v>427.48475076262201</v>
      </c>
      <c r="F39">
        <v>14.499815504687939</v>
      </c>
      <c r="G39">
        <v>3.4504077293593891</v>
      </c>
      <c r="H39">
        <v>396.19431766703661</v>
      </c>
      <c r="I39">
        <v>0.52318481173216469</v>
      </c>
      <c r="J39">
        <v>0.13213982536731561</v>
      </c>
      <c r="K39">
        <v>385.20217578149038</v>
      </c>
      <c r="L39">
        <v>2.947545528304488</v>
      </c>
      <c r="M39">
        <v>0.76813326955401429</v>
      </c>
    </row>
    <row r="40" spans="1:13" x14ac:dyDescent="0.35">
      <c r="A40" s="5">
        <v>45511</v>
      </c>
      <c r="B40">
        <v>361.56406387757431</v>
      </c>
      <c r="C40">
        <v>4.7994180674826907</v>
      </c>
      <c r="D40">
        <v>1.336273492276121</v>
      </c>
      <c r="E40">
        <v>426.69108911329772</v>
      </c>
      <c r="F40">
        <v>13.706153855363709</v>
      </c>
      <c r="G40">
        <v>3.2646290849205011</v>
      </c>
      <c r="H40">
        <v>396.05359656202972</v>
      </c>
      <c r="I40">
        <v>0.38246370672527519</v>
      </c>
      <c r="J40">
        <v>9.6615324118206336E-2</v>
      </c>
      <c r="K40">
        <v>384.56662264232438</v>
      </c>
      <c r="L40">
        <v>2.3119923891385379</v>
      </c>
      <c r="M40">
        <v>0.60300686252721147</v>
      </c>
    </row>
    <row r="41" spans="1:13" x14ac:dyDescent="0.35">
      <c r="A41" s="5">
        <v>45512</v>
      </c>
      <c r="B41">
        <v>362.12587055479298</v>
      </c>
      <c r="C41">
        <v>5.3612247447014738</v>
      </c>
      <c r="D41">
        <v>1.4915274642405461</v>
      </c>
      <c r="E41">
        <v>427.82631146927338</v>
      </c>
      <c r="F41">
        <v>11.77081396924018</v>
      </c>
      <c r="G41">
        <v>2.7896830679681801</v>
      </c>
      <c r="H41">
        <v>397.02494396975322</v>
      </c>
      <c r="I41">
        <v>1.3538111144487739</v>
      </c>
      <c r="J41">
        <v>0.3415712917039071</v>
      </c>
      <c r="K41">
        <v>383.8932905459705</v>
      </c>
      <c r="L41">
        <v>1.3058307736982331</v>
      </c>
      <c r="M41">
        <v>0.34073413406822028</v>
      </c>
    </row>
    <row r="42" spans="1:13" x14ac:dyDescent="0.35">
      <c r="A42" s="5">
        <v>45513</v>
      </c>
      <c r="B42">
        <v>362.14377089578892</v>
      </c>
      <c r="C42">
        <v>6.273277698326126</v>
      </c>
      <c r="D42">
        <v>1.747396399220108</v>
      </c>
      <c r="E42">
        <v>422.80532489953129</v>
      </c>
      <c r="F42">
        <v>6.7498273994980877</v>
      </c>
      <c r="G42">
        <v>1.609284214797438</v>
      </c>
      <c r="H42">
        <v>392.72338675144522</v>
      </c>
      <c r="I42">
        <v>0.28227636034449688</v>
      </c>
      <c r="J42">
        <v>7.1902476836837786E-2</v>
      </c>
      <c r="K42">
        <v>384.09996260481802</v>
      </c>
      <c r="L42">
        <v>1.512502832545749</v>
      </c>
      <c r="M42">
        <v>0.39455527465320339</v>
      </c>
    </row>
    <row r="43" spans="1:13" x14ac:dyDescent="0.35">
      <c r="A43" s="5">
        <v>45516</v>
      </c>
      <c r="B43">
        <v>361.83362713143151</v>
      </c>
      <c r="C43">
        <v>6.857286546597436</v>
      </c>
      <c r="D43">
        <v>1.913278792270295</v>
      </c>
      <c r="E43">
        <v>425.78569534384769</v>
      </c>
      <c r="F43">
        <v>9.7301978438144374</v>
      </c>
      <c r="G43">
        <v>2.3116468822211429</v>
      </c>
      <c r="H43">
        <v>395.41980372551342</v>
      </c>
      <c r="I43">
        <v>2.9786933344126401</v>
      </c>
      <c r="J43">
        <v>0.75614700032491988</v>
      </c>
      <c r="K43">
        <v>384.97194297242368</v>
      </c>
      <c r="L43">
        <v>3.2171010745113899</v>
      </c>
      <c r="M43">
        <v>0.83917795438839204</v>
      </c>
    </row>
    <row r="44" spans="1:13" x14ac:dyDescent="0.35">
      <c r="A44" s="5">
        <v>45517</v>
      </c>
      <c r="B44">
        <v>361.69149590943613</v>
      </c>
      <c r="C44">
        <v>7.4330050796465912</v>
      </c>
      <c r="D44">
        <v>2.0764034408325069</v>
      </c>
      <c r="E44">
        <v>425.9933504255211</v>
      </c>
      <c r="F44">
        <v>9.9378529254878458</v>
      </c>
      <c r="G44">
        <v>2.3603982001686541</v>
      </c>
      <c r="H44">
        <v>394.33786328929727</v>
      </c>
      <c r="I44">
        <v>1.89675289819661</v>
      </c>
      <c r="J44">
        <v>0.48215647892163882</v>
      </c>
      <c r="K44">
        <v>384.53588914395777</v>
      </c>
      <c r="L44">
        <v>3.6154850566995829</v>
      </c>
      <c r="M44">
        <v>0.94466139704399132</v>
      </c>
    </row>
    <row r="45" spans="1:13" x14ac:dyDescent="0.35">
      <c r="A45" s="5">
        <v>45518</v>
      </c>
      <c r="B45">
        <v>361.2514575644804</v>
      </c>
      <c r="C45">
        <v>8.7939875060348527</v>
      </c>
      <c r="D45">
        <v>2.4643064324062851</v>
      </c>
      <c r="E45">
        <v>426.25630043039598</v>
      </c>
      <c r="F45">
        <v>10.20080293036273</v>
      </c>
      <c r="G45">
        <v>2.4220966524335088</v>
      </c>
      <c r="H45">
        <v>392.87637407499011</v>
      </c>
      <c r="I45">
        <v>0.43526368388933179</v>
      </c>
      <c r="J45">
        <v>0.1108503738931144</v>
      </c>
      <c r="K45">
        <v>384.70629355241903</v>
      </c>
      <c r="L45">
        <v>3.785889465160722</v>
      </c>
      <c r="M45">
        <v>0.98896485110357246</v>
      </c>
    </row>
    <row r="46" spans="1:13" x14ac:dyDescent="0.35">
      <c r="A46" s="5">
        <v>45519</v>
      </c>
      <c r="B46">
        <v>361.54027713735252</v>
      </c>
      <c r="C46">
        <v>10.16785060817813</v>
      </c>
      <c r="D46">
        <v>2.8524812521602212</v>
      </c>
      <c r="E46">
        <v>426.90464199184743</v>
      </c>
      <c r="F46">
        <v>10.849144491814171</v>
      </c>
      <c r="G46">
        <v>2.5740587208201342</v>
      </c>
      <c r="H46">
        <v>393.36576049313243</v>
      </c>
      <c r="I46">
        <v>0.92465010203164866</v>
      </c>
      <c r="J46">
        <v>0.23533774933557919</v>
      </c>
      <c r="K46">
        <v>385.24324448470628</v>
      </c>
      <c r="L46">
        <v>4.3228403974480898</v>
      </c>
      <c r="M46">
        <v>1.1284378749906321</v>
      </c>
    </row>
    <row r="47" spans="1:13" x14ac:dyDescent="0.35">
      <c r="A47" s="5">
        <v>45520</v>
      </c>
      <c r="B47">
        <v>361.43529146753963</v>
      </c>
      <c r="C47">
        <v>14.070353901872121</v>
      </c>
      <c r="D47">
        <v>3.9701888700188079</v>
      </c>
      <c r="E47">
        <v>429.29177501721227</v>
      </c>
      <c r="F47">
        <v>13.236277517179021</v>
      </c>
      <c r="G47">
        <v>3.1315597618868458</v>
      </c>
      <c r="H47">
        <v>392.91539107793471</v>
      </c>
      <c r="I47">
        <v>0.4742806868339926</v>
      </c>
      <c r="J47">
        <v>0.1207809920582141</v>
      </c>
      <c r="K47">
        <v>385.70952309712573</v>
      </c>
      <c r="L47">
        <v>4.789119009867477</v>
      </c>
      <c r="M47">
        <v>1.2493952662287939</v>
      </c>
    </row>
    <row r="48" spans="1:13" x14ac:dyDescent="0.35">
      <c r="A48" s="5">
        <v>45523</v>
      </c>
      <c r="B48">
        <v>361.16107472635099</v>
      </c>
      <c r="C48">
        <v>14.897138147619049</v>
      </c>
      <c r="D48">
        <v>4.2116515275976036</v>
      </c>
      <c r="E48">
        <v>428.10212983267797</v>
      </c>
      <c r="F48">
        <v>12.04663233264478</v>
      </c>
      <c r="G48">
        <v>2.8541191698305362</v>
      </c>
      <c r="H48">
        <v>392.17619798957588</v>
      </c>
      <c r="I48">
        <v>0.26491240152483903</v>
      </c>
      <c r="J48">
        <v>6.7526525019330763E-2</v>
      </c>
      <c r="K48">
        <v>385.82465397541688</v>
      </c>
      <c r="L48">
        <v>4.904249888158688</v>
      </c>
      <c r="M48">
        <v>1.2792387343324221</v>
      </c>
    </row>
    <row r="49" spans="1:13" x14ac:dyDescent="0.35">
      <c r="A49" s="5">
        <v>45524</v>
      </c>
      <c r="B49">
        <v>360.93253743694709</v>
      </c>
      <c r="C49">
        <v>15.40455054587051</v>
      </c>
      <c r="D49">
        <v>4.3610506221909846</v>
      </c>
      <c r="E49">
        <v>428.25683926197229</v>
      </c>
      <c r="F49">
        <v>12.201341761939091</v>
      </c>
      <c r="G49">
        <v>2.8902436292076561</v>
      </c>
      <c r="H49">
        <v>393.0900430337208</v>
      </c>
      <c r="I49">
        <v>0.64893264262008188</v>
      </c>
      <c r="J49">
        <v>0.16522136386082531</v>
      </c>
      <c r="K49">
        <v>384.71278811867802</v>
      </c>
      <c r="L49">
        <v>3.7923840314197719</v>
      </c>
      <c r="M49">
        <v>0.99065298370703614</v>
      </c>
    </row>
    <row r="50" spans="1:13" x14ac:dyDescent="0.35">
      <c r="A50" s="5">
        <v>45525</v>
      </c>
      <c r="B50">
        <v>360.912592761817</v>
      </c>
      <c r="C50">
        <v>13.547655196149551</v>
      </c>
      <c r="D50">
        <v>3.8255216680064761</v>
      </c>
      <c r="E50">
        <v>421.07739509043961</v>
      </c>
      <c r="F50">
        <v>1.973831218691998</v>
      </c>
      <c r="G50">
        <v>0.46985859358920062</v>
      </c>
      <c r="H50">
        <v>389.67869173550412</v>
      </c>
      <c r="I50">
        <v>0.49441035327754429</v>
      </c>
      <c r="J50">
        <v>0.12695695400654519</v>
      </c>
      <c r="K50">
        <v>384.43772608598152</v>
      </c>
      <c r="L50">
        <v>3.851609385700272</v>
      </c>
      <c r="M50">
        <v>1.0069253192612859</v>
      </c>
    </row>
    <row r="51" spans="1:13" x14ac:dyDescent="0.35">
      <c r="A51" s="5">
        <v>45526</v>
      </c>
      <c r="B51">
        <v>360.81160444479718</v>
      </c>
      <c r="C51">
        <v>12.714600866771431</v>
      </c>
      <c r="D51">
        <v>3.58709168512793</v>
      </c>
      <c r="E51">
        <v>425.15329395183062</v>
      </c>
      <c r="F51">
        <v>6.0497300800830089</v>
      </c>
      <c r="G51">
        <v>1.433149171137013</v>
      </c>
      <c r="H51">
        <v>390.81620957295848</v>
      </c>
      <c r="I51">
        <v>1.631928190732026</v>
      </c>
      <c r="J51">
        <v>0.41844286244834838</v>
      </c>
      <c r="K51">
        <v>384.27365535964537</v>
      </c>
      <c r="L51">
        <v>3.6875386593641788</v>
      </c>
      <c r="M51">
        <v>0.9642391439761212</v>
      </c>
    </row>
    <row r="52" spans="1:13" x14ac:dyDescent="0.35">
      <c r="A52" s="5">
        <v>45527</v>
      </c>
      <c r="B52">
        <v>360.45923021466768</v>
      </c>
      <c r="C52">
        <v>13.09429264900024</v>
      </c>
      <c r="D52">
        <v>3.699871591008991</v>
      </c>
      <c r="E52">
        <v>425.08343256226817</v>
      </c>
      <c r="F52">
        <v>5.9798686905206182</v>
      </c>
      <c r="G52">
        <v>1.416716607998123</v>
      </c>
      <c r="H52">
        <v>389.24975098614073</v>
      </c>
      <c r="I52">
        <v>6.5469603914152685E-2</v>
      </c>
      <c r="J52">
        <v>1.6820848316449599E-2</v>
      </c>
      <c r="K52">
        <v>384.1729066446548</v>
      </c>
      <c r="L52">
        <v>3.586789944373606</v>
      </c>
      <c r="M52">
        <v>0.93801833908034071</v>
      </c>
    </row>
    <row r="53" spans="1:13" x14ac:dyDescent="0.35">
      <c r="A53" s="5">
        <v>45530</v>
      </c>
      <c r="B53">
        <v>360.84325769209511</v>
      </c>
      <c r="C53">
        <v>10.92278954968987</v>
      </c>
      <c r="D53">
        <v>3.07353601560505</v>
      </c>
      <c r="E53">
        <v>423.52761017164221</v>
      </c>
      <c r="F53">
        <v>4.4240462998945418</v>
      </c>
      <c r="G53">
        <v>1.0500552166057719</v>
      </c>
      <c r="H53">
        <v>388.78512571734848</v>
      </c>
      <c r="I53">
        <v>0.3991556648779806</v>
      </c>
      <c r="J53">
        <v>0.1026147458332872</v>
      </c>
      <c r="K53">
        <v>384.19897355233212</v>
      </c>
      <c r="L53">
        <v>3.4457131585623979</v>
      </c>
      <c r="M53">
        <v>0.9008962927756291</v>
      </c>
    </row>
    <row r="54" spans="1:13" x14ac:dyDescent="0.35">
      <c r="A54" s="5">
        <v>45531</v>
      </c>
      <c r="B54">
        <v>360.39053196046359</v>
      </c>
      <c r="C54">
        <v>10.106509986865721</v>
      </c>
      <c r="D54">
        <v>2.8442020136838662</v>
      </c>
      <c r="E54">
        <v>422.67374970362471</v>
      </c>
      <c r="F54">
        <v>3.5701858318770969</v>
      </c>
      <c r="G54">
        <v>0.84824947745694279</v>
      </c>
      <c r="H54">
        <v>388.4471259427695</v>
      </c>
      <c r="I54">
        <v>0.73715543945701256</v>
      </c>
      <c r="J54">
        <v>0.18958993490059281</v>
      </c>
      <c r="K54">
        <v>385.03964947421241</v>
      </c>
      <c r="L54">
        <v>4.1192453869541623</v>
      </c>
      <c r="M54">
        <v>1.075577079457597</v>
      </c>
    </row>
    <row r="55" spans="1:13" x14ac:dyDescent="0.35">
      <c r="A55" s="5">
        <v>45532</v>
      </c>
      <c r="B55">
        <v>360.65241000876603</v>
      </c>
      <c r="C55">
        <v>10.73194186636084</v>
      </c>
      <c r="D55">
        <v>3.0206449461690981</v>
      </c>
      <c r="E55">
        <v>422.45861803734272</v>
      </c>
      <c r="F55">
        <v>3.3550541655951061</v>
      </c>
      <c r="G55">
        <v>0.79733957578372538</v>
      </c>
      <c r="H55">
        <v>387.58786242951362</v>
      </c>
      <c r="I55">
        <v>1.596418952712952</v>
      </c>
      <c r="J55">
        <v>0.41103918708492221</v>
      </c>
      <c r="K55">
        <v>384.62412606917212</v>
      </c>
      <c r="L55">
        <v>3.3697277011006008</v>
      </c>
      <c r="M55">
        <v>0.87996401350374021</v>
      </c>
    </row>
    <row r="56" spans="1:13" x14ac:dyDescent="0.35">
      <c r="A56" s="5">
        <v>45533</v>
      </c>
      <c r="B56">
        <v>360.45397262828749</v>
      </c>
      <c r="C56">
        <v>10.5335044858823</v>
      </c>
      <c r="D56">
        <v>2.9656203493060311</v>
      </c>
      <c r="E56">
        <v>419.81721607788569</v>
      </c>
      <c r="F56">
        <v>0.71365220613807878</v>
      </c>
      <c r="G56">
        <v>0.17013577996743001</v>
      </c>
      <c r="H56">
        <v>386.27232230673422</v>
      </c>
      <c r="I56">
        <v>2.911959075492291</v>
      </c>
      <c r="J56">
        <v>0.75103082793793252</v>
      </c>
      <c r="K56">
        <v>385.73308539272051</v>
      </c>
      <c r="L56">
        <v>3.1456256204482429</v>
      </c>
      <c r="M56">
        <v>0.81883157758660019</v>
      </c>
    </row>
    <row r="57" spans="1:13" x14ac:dyDescent="0.35">
      <c r="A57" s="5">
        <v>45534</v>
      </c>
      <c r="B57">
        <v>360.51104959830133</v>
      </c>
      <c r="C57">
        <v>10.22702762470345</v>
      </c>
      <c r="D57">
        <v>2.87763042647066</v>
      </c>
      <c r="E57">
        <v>420.97183980530752</v>
      </c>
      <c r="F57">
        <v>1.8682759335599139</v>
      </c>
      <c r="G57">
        <v>0.44478767629247751</v>
      </c>
      <c r="H57">
        <v>386.60002535241841</v>
      </c>
      <c r="I57">
        <v>0.94557809316330577</v>
      </c>
      <c r="J57">
        <v>0.24428946130755369</v>
      </c>
      <c r="K57">
        <v>383.72140077932642</v>
      </c>
      <c r="L57">
        <v>0.80140077932634313</v>
      </c>
      <c r="M57">
        <v>0.2090679628080824</v>
      </c>
    </row>
    <row r="58" spans="1:13" x14ac:dyDescent="0.35">
      <c r="A58" s="5">
        <v>45537</v>
      </c>
      <c r="B58">
        <v>360.66098086871921</v>
      </c>
      <c r="C58">
        <v>11.104444668922101</v>
      </c>
      <c r="D58">
        <v>3.127054571888519</v>
      </c>
      <c r="E58">
        <v>418.03616263523958</v>
      </c>
      <c r="F58">
        <v>1.067401236508033</v>
      </c>
      <c r="G58">
        <v>0.25501148797747858</v>
      </c>
      <c r="H58">
        <v>386.60915417253977</v>
      </c>
      <c r="I58">
        <v>0.93644927304188741</v>
      </c>
      <c r="J58">
        <v>0.2419281839520315</v>
      </c>
      <c r="K58">
        <v>383.745505985357</v>
      </c>
      <c r="L58">
        <v>0.82550598535698327</v>
      </c>
      <c r="M58">
        <v>0.21534971350928339</v>
      </c>
    </row>
    <row r="59" spans="1:13" x14ac:dyDescent="0.35">
      <c r="A59" s="5">
        <v>45538</v>
      </c>
      <c r="B59">
        <v>360.21545182032008</v>
      </c>
      <c r="C59">
        <v>12.484288599362969</v>
      </c>
      <c r="D59">
        <v>3.5269011346667849</v>
      </c>
      <c r="E59">
        <v>422.28175580970412</v>
      </c>
      <c r="F59">
        <v>3.178191937956456</v>
      </c>
      <c r="G59">
        <v>0.7554664583783598</v>
      </c>
      <c r="H59">
        <v>386.92268071660521</v>
      </c>
      <c r="I59">
        <v>0.62292272897656176</v>
      </c>
      <c r="J59">
        <v>0.160864619433818</v>
      </c>
      <c r="K59">
        <v>383.56494198689882</v>
      </c>
      <c r="L59">
        <v>0.64494198689880022</v>
      </c>
      <c r="M59">
        <v>0.16828562482309611</v>
      </c>
    </row>
    <row r="60" spans="1:13" x14ac:dyDescent="0.35">
      <c r="A60" s="5">
        <v>45539</v>
      </c>
      <c r="B60">
        <v>360.22703140997709</v>
      </c>
      <c r="C60">
        <v>13.228706017764241</v>
      </c>
      <c r="D60">
        <v>3.741015757008348</v>
      </c>
      <c r="E60">
        <v>421.84126492000792</v>
      </c>
      <c r="F60">
        <v>2.7377010482602491</v>
      </c>
      <c r="G60">
        <v>0.65110122674603821</v>
      </c>
      <c r="H60">
        <v>386.24065956404058</v>
      </c>
      <c r="I60">
        <v>1.3049438815410781</v>
      </c>
      <c r="J60">
        <v>0.33728794214193708</v>
      </c>
      <c r="K60">
        <v>383.68609077183481</v>
      </c>
      <c r="L60">
        <v>0.43383908242861929</v>
      </c>
      <c r="M60">
        <v>0.1131353222050034</v>
      </c>
    </row>
    <row r="61" spans="1:13" x14ac:dyDescent="0.35">
      <c r="A61" s="5">
        <v>45540</v>
      </c>
      <c r="B61">
        <v>360.67611004792599</v>
      </c>
      <c r="C61">
        <v>14.4121734691941</v>
      </c>
      <c r="D61">
        <v>4.0773396663452264</v>
      </c>
      <c r="E61">
        <v>419.94461599653363</v>
      </c>
      <c r="F61">
        <v>2.1850056838217138</v>
      </c>
      <c r="G61">
        <v>0.51895796975090858</v>
      </c>
      <c r="H61">
        <v>385.20809914128648</v>
      </c>
      <c r="I61">
        <v>0.96081613202420613</v>
      </c>
      <c r="J61">
        <v>0.24973927125932169</v>
      </c>
      <c r="K61">
        <v>383.32902406212219</v>
      </c>
      <c r="L61">
        <v>8.9245504548159715E-2</v>
      </c>
      <c r="M61">
        <v>2.3278987820299041E-2</v>
      </c>
    </row>
    <row r="62" spans="1:13" x14ac:dyDescent="0.35">
      <c r="A62" s="5">
        <v>45541</v>
      </c>
      <c r="B62">
        <v>360.52239478466367</v>
      </c>
      <c r="C62">
        <v>16.841176793339571</v>
      </c>
      <c r="D62">
        <v>4.7830418611319567</v>
      </c>
      <c r="E62">
        <v>421.92800427275517</v>
      </c>
      <c r="F62">
        <v>0.20161740760016761</v>
      </c>
      <c r="G62">
        <v>4.7773375040004111E-2</v>
      </c>
      <c r="H62">
        <v>384.79875435806088</v>
      </c>
      <c r="I62">
        <v>2.2112945857886639</v>
      </c>
      <c r="J62">
        <v>0.57631855904388041</v>
      </c>
      <c r="K62">
        <v>384.77472626675592</v>
      </c>
      <c r="L62">
        <v>1.3564567000855161</v>
      </c>
      <c r="M62">
        <v>0.35315518559600262</v>
      </c>
    </row>
    <row r="63" spans="1:13" x14ac:dyDescent="0.35">
      <c r="A63" s="5">
        <v>45544</v>
      </c>
      <c r="B63">
        <v>360.70835566343942</v>
      </c>
      <c r="C63">
        <v>16.6569908572522</v>
      </c>
      <c r="D63">
        <v>4.7269985424685039</v>
      </c>
      <c r="E63">
        <v>424.22315522721971</v>
      </c>
      <c r="F63">
        <v>2.0935335468643639</v>
      </c>
      <c r="G63">
        <v>0.49471889358330379</v>
      </c>
      <c r="H63">
        <v>383.50012283523267</v>
      </c>
      <c r="I63">
        <v>2.5797187479744248</v>
      </c>
      <c r="J63">
        <v>0.67494753401251728</v>
      </c>
      <c r="K63">
        <v>383.60563432917269</v>
      </c>
      <c r="L63">
        <v>0.18736476250228409</v>
      </c>
      <c r="M63">
        <v>4.8854999577099677E-2</v>
      </c>
    </row>
    <row r="64" spans="1:13" x14ac:dyDescent="0.35">
      <c r="A64" s="5">
        <v>45545</v>
      </c>
      <c r="B64">
        <v>360.26279676095788</v>
      </c>
      <c r="C64">
        <v>16.21143195477077</v>
      </c>
      <c r="D64">
        <v>4.6034661346860473</v>
      </c>
      <c r="E64">
        <v>421.43371089920169</v>
      </c>
      <c r="F64">
        <v>0.6959107811536569</v>
      </c>
      <c r="G64">
        <v>0.16499313193844259</v>
      </c>
      <c r="H64">
        <v>382.3547949878336</v>
      </c>
      <c r="I64">
        <v>3.1087744088432032</v>
      </c>
      <c r="J64">
        <v>0.81637896002763155</v>
      </c>
      <c r="K64">
        <v>384.26529041115913</v>
      </c>
      <c r="L64">
        <v>0.84702084448872483</v>
      </c>
      <c r="M64">
        <v>0.22066926755945779</v>
      </c>
    </row>
    <row r="65" spans="1:13" x14ac:dyDescent="0.35">
      <c r="A65" s="5">
        <v>45546</v>
      </c>
      <c r="B65">
        <v>360.35964847053202</v>
      </c>
      <c r="C65">
        <v>15.938534643287079</v>
      </c>
      <c r="D65">
        <v>4.5229766463327126</v>
      </c>
      <c r="E65">
        <v>423.12326551202199</v>
      </c>
      <c r="F65">
        <v>2.0108753776507911</v>
      </c>
      <c r="G65">
        <v>0.47411914413595641</v>
      </c>
      <c r="H65">
        <v>382.02590219144059</v>
      </c>
      <c r="I65">
        <v>2.7798816124501968</v>
      </c>
      <c r="J65">
        <v>0.73032553265162081</v>
      </c>
      <c r="K65">
        <v>383.91433864945122</v>
      </c>
      <c r="L65">
        <v>0.66208696004503054</v>
      </c>
      <c r="M65">
        <v>0.17260578559673359</v>
      </c>
    </row>
    <row r="66" spans="1:13" x14ac:dyDescent="0.35">
      <c r="A66" s="5">
        <v>45547</v>
      </c>
      <c r="B66">
        <v>360.8865223672766</v>
      </c>
      <c r="C66">
        <v>16.096056033011511</v>
      </c>
      <c r="D66">
        <v>4.5618764082497618</v>
      </c>
      <c r="E66">
        <v>421.84067160711982</v>
      </c>
      <c r="F66">
        <v>3.293469282553076</v>
      </c>
      <c r="G66">
        <v>0.77770182394073128</v>
      </c>
      <c r="H66">
        <v>383.82289262604621</v>
      </c>
      <c r="I66">
        <v>4.5768720470558151</v>
      </c>
      <c r="J66">
        <v>1.199595991358648</v>
      </c>
      <c r="K66">
        <v>383.50037770009891</v>
      </c>
      <c r="L66">
        <v>8.2108133428505425E-2</v>
      </c>
      <c r="M66">
        <v>2.1412475422557919E-2</v>
      </c>
    </row>
    <row r="67" spans="1:13" x14ac:dyDescent="0.35">
      <c r="A67" s="5">
        <v>45548</v>
      </c>
      <c r="B67">
        <v>360.78781937127712</v>
      </c>
      <c r="C67">
        <v>14.89166190490681</v>
      </c>
      <c r="D67">
        <v>4.2145180570092311</v>
      </c>
      <c r="E67">
        <v>426.08953401237522</v>
      </c>
      <c r="F67">
        <v>3.9599123320198828</v>
      </c>
      <c r="G67">
        <v>0.93370028381070092</v>
      </c>
      <c r="H67">
        <v>385.66492455518352</v>
      </c>
      <c r="I67">
        <v>8.4379743315813016</v>
      </c>
      <c r="J67">
        <v>2.2121022940578658</v>
      </c>
      <c r="K67">
        <v>383.81508160526022</v>
      </c>
      <c r="L67">
        <v>0.39681203858975778</v>
      </c>
      <c r="M67">
        <v>0.1034397261233851</v>
      </c>
    </row>
    <row r="68" spans="1:13" x14ac:dyDescent="0.35">
      <c r="A68" s="5">
        <v>45551</v>
      </c>
      <c r="B68">
        <v>360.14586342863748</v>
      </c>
      <c r="C68">
        <v>14.24970596226723</v>
      </c>
      <c r="D68">
        <v>4.0365036472485567</v>
      </c>
      <c r="E68">
        <v>426.72891264543262</v>
      </c>
      <c r="F68">
        <v>4.5992909650772162</v>
      </c>
      <c r="G68">
        <v>1.083641332234524</v>
      </c>
      <c r="H68">
        <v>387.46600716246451</v>
      </c>
      <c r="I68">
        <v>11.591129211037529</v>
      </c>
      <c r="J68">
        <v>3.0369470408513761</v>
      </c>
      <c r="K68">
        <v>383.64961870096369</v>
      </c>
      <c r="L68">
        <v>0.23134913429333889</v>
      </c>
      <c r="M68">
        <v>6.03203804596288E-2</v>
      </c>
    </row>
    <row r="69" spans="1:13" x14ac:dyDescent="0.35">
      <c r="A69" s="5">
        <v>45552</v>
      </c>
      <c r="B69">
        <v>359.78814401746718</v>
      </c>
      <c r="C69">
        <v>13.89198655109686</v>
      </c>
      <c r="D69">
        <v>3.9371675186443169</v>
      </c>
      <c r="E69">
        <v>427.18013359350732</v>
      </c>
      <c r="F69">
        <v>5.0505119131519223</v>
      </c>
      <c r="G69">
        <v>1.189321535939114</v>
      </c>
      <c r="H69">
        <v>385.23923280034819</v>
      </c>
      <c r="I69">
        <v>9.3643548489212662</v>
      </c>
      <c r="J69">
        <v>2.4606966857234589</v>
      </c>
      <c r="K69">
        <v>383.76620286180082</v>
      </c>
      <c r="L69">
        <v>1.178743089528552</v>
      </c>
      <c r="M69">
        <v>0.30762378964224768</v>
      </c>
    </row>
    <row r="70" spans="1:13" x14ac:dyDescent="0.35">
      <c r="A70" s="5">
        <v>45553</v>
      </c>
      <c r="B70">
        <v>359.98373420283741</v>
      </c>
      <c r="C70">
        <v>14.455747311760829</v>
      </c>
      <c r="D70">
        <v>4.0979467468936734</v>
      </c>
      <c r="E70">
        <v>429.22629184282607</v>
      </c>
      <c r="F70">
        <v>1.1087168707161941</v>
      </c>
      <c r="G70">
        <v>0.2586399491805117</v>
      </c>
      <c r="H70">
        <v>383.08302264016692</v>
      </c>
      <c r="I70">
        <v>7.2081446887399352</v>
      </c>
      <c r="J70">
        <v>1.8994847232293941</v>
      </c>
      <c r="K70">
        <v>383.24619523379488</v>
      </c>
      <c r="L70">
        <v>0.17207433287546789</v>
      </c>
      <c r="M70">
        <v>4.4889085323721732E-2</v>
      </c>
    </row>
    <row r="71" spans="1:13" x14ac:dyDescent="0.35">
      <c r="A71" s="5">
        <v>45554</v>
      </c>
      <c r="B71">
        <v>360.11157851761982</v>
      </c>
      <c r="C71">
        <v>14.21542105124945</v>
      </c>
      <c r="D71">
        <v>4.0269873336265496</v>
      </c>
      <c r="E71">
        <v>432.14313885376589</v>
      </c>
      <c r="F71">
        <v>4.0255638816559554</v>
      </c>
      <c r="G71">
        <v>0.93589392540149374</v>
      </c>
      <c r="H71">
        <v>382.11235535424038</v>
      </c>
      <c r="I71">
        <v>6.2374774028135107</v>
      </c>
      <c r="J71">
        <v>1.645800121358552</v>
      </c>
      <c r="K71">
        <v>384.98596633265402</v>
      </c>
      <c r="L71">
        <v>0.73868332339168319</v>
      </c>
      <c r="M71">
        <v>0.1920570448621742</v>
      </c>
    </row>
    <row r="72" spans="1:13" x14ac:dyDescent="0.35">
      <c r="A72" s="5">
        <v>45555</v>
      </c>
      <c r="B72">
        <v>360.02651818471452</v>
      </c>
      <c r="C72">
        <v>13.76258160598252</v>
      </c>
      <c r="D72">
        <v>3.8971450097232072</v>
      </c>
      <c r="E72">
        <v>430.27768505699629</v>
      </c>
      <c r="F72">
        <v>2.1601100848863548</v>
      </c>
      <c r="G72">
        <v>0.50329031052969886</v>
      </c>
      <c r="H72">
        <v>380.86514914927869</v>
      </c>
      <c r="I72">
        <v>4.9902711978518246</v>
      </c>
      <c r="J72">
        <v>1.3188865446885421</v>
      </c>
      <c r="K72">
        <v>383.25859890616852</v>
      </c>
      <c r="L72">
        <v>0.98868410309381716</v>
      </c>
      <c r="M72">
        <v>0.25763557684441463</v>
      </c>
    </row>
    <row r="73" spans="1:13" x14ac:dyDescent="0.35">
      <c r="A73" s="5">
        <v>45558</v>
      </c>
      <c r="B73">
        <v>360.4550235925887</v>
      </c>
      <c r="C73">
        <v>14.55886612621839</v>
      </c>
      <c r="D73">
        <v>4.1222741652082391</v>
      </c>
      <c r="E73">
        <v>433.54885859994988</v>
      </c>
      <c r="F73">
        <v>5.4312836278399459</v>
      </c>
      <c r="G73">
        <v>1.2606464441986951</v>
      </c>
      <c r="H73">
        <v>380.95967484673918</v>
      </c>
      <c r="I73">
        <v>5.0847968953122518</v>
      </c>
      <c r="J73">
        <v>1.3437010444390389</v>
      </c>
      <c r="K73">
        <v>383.26526307052148</v>
      </c>
      <c r="L73">
        <v>0.98201993874073423</v>
      </c>
      <c r="M73">
        <v>0.25589677817166279</v>
      </c>
    </row>
    <row r="74" spans="1:13" x14ac:dyDescent="0.35">
      <c r="A74" s="5">
        <v>45559</v>
      </c>
      <c r="B74">
        <v>360.37450686085822</v>
      </c>
      <c r="C74">
        <v>12.643343639900991</v>
      </c>
      <c r="D74">
        <v>3.5710330178376188</v>
      </c>
      <c r="E74">
        <v>428.52169706248281</v>
      </c>
      <c r="F74">
        <v>0.4041220903728231</v>
      </c>
      <c r="G74">
        <v>9.4350586895928207E-2</v>
      </c>
      <c r="H74">
        <v>380.26550822620783</v>
      </c>
      <c r="I74">
        <v>6.0875909862936624</v>
      </c>
      <c r="J74">
        <v>1.613796550094535</v>
      </c>
      <c r="K74">
        <v>382.75657410200148</v>
      </c>
      <c r="L74">
        <v>2.317937599954746</v>
      </c>
      <c r="M74">
        <v>0.60376237503532315</v>
      </c>
    </row>
    <row r="75" spans="1:13" x14ac:dyDescent="0.35">
      <c r="A75" s="5">
        <v>45560</v>
      </c>
      <c r="B75">
        <v>359.83632919905932</v>
      </c>
      <c r="C75">
        <v>10.27979299926216</v>
      </c>
      <c r="D75">
        <v>2.8981946395760052</v>
      </c>
      <c r="E75">
        <v>435.35340258889369</v>
      </c>
      <c r="F75">
        <v>7.2358276167837516</v>
      </c>
      <c r="G75">
        <v>1.675986293649931</v>
      </c>
      <c r="H75">
        <v>382.03973612049049</v>
      </c>
      <c r="I75">
        <v>7.8618188805763216</v>
      </c>
      <c r="J75">
        <v>2.0792476466638261</v>
      </c>
      <c r="K75">
        <v>383.14456252211232</v>
      </c>
      <c r="L75">
        <v>2.425434495290574</v>
      </c>
      <c r="M75">
        <v>0.63103644003919601</v>
      </c>
    </row>
    <row r="76" spans="1:13" x14ac:dyDescent="0.35">
      <c r="A76" s="5">
        <v>45561</v>
      </c>
      <c r="B76">
        <v>360.48738658829052</v>
      </c>
      <c r="C76">
        <v>10.930850388493409</v>
      </c>
      <c r="D76">
        <v>3.0789223138680968</v>
      </c>
      <c r="E76">
        <v>438.6081829827624</v>
      </c>
      <c r="F76">
        <v>10.490608010652471</v>
      </c>
      <c r="G76">
        <v>2.4207444891002461</v>
      </c>
      <c r="H76">
        <v>385.25820977517162</v>
      </c>
      <c r="I76">
        <v>11.08029253525746</v>
      </c>
      <c r="J76">
        <v>2.918031455471525</v>
      </c>
      <c r="K76">
        <v>382.57211847475622</v>
      </c>
      <c r="L76">
        <v>3.3278486475537652</v>
      </c>
      <c r="M76">
        <v>0.86609486796600577</v>
      </c>
    </row>
    <row r="77" spans="1:13" x14ac:dyDescent="0.35">
      <c r="A77" s="5">
        <v>45562</v>
      </c>
      <c r="B77">
        <v>360.07411438009439</v>
      </c>
      <c r="C77">
        <v>6.8951339041888673</v>
      </c>
      <c r="D77">
        <v>1.93343259325946</v>
      </c>
      <c r="E77">
        <v>438.76458025783887</v>
      </c>
      <c r="F77">
        <v>10.647005285728991</v>
      </c>
      <c r="G77">
        <v>2.456390461262814</v>
      </c>
      <c r="H77">
        <v>384.23113355604897</v>
      </c>
      <c r="I77">
        <v>10.05321631613486</v>
      </c>
      <c r="J77">
        <v>2.6511330015336259</v>
      </c>
      <c r="K77">
        <v>383.04904838510311</v>
      </c>
      <c r="L77">
        <v>2.850918737206825</v>
      </c>
      <c r="M77">
        <v>0.74151047201108944</v>
      </c>
    </row>
    <row r="78" spans="1:13" x14ac:dyDescent="0.35">
      <c r="A78" s="5">
        <v>45565</v>
      </c>
      <c r="B78">
        <v>359.7958738337897</v>
      </c>
      <c r="C78">
        <v>0.51875638541196167</v>
      </c>
      <c r="D78">
        <v>0.14407688333727919</v>
      </c>
      <c r="E78">
        <v>440.8737814910935</v>
      </c>
      <c r="F78">
        <v>12.756206518983561</v>
      </c>
      <c r="G78">
        <v>2.93586499430819</v>
      </c>
      <c r="H78">
        <v>383.13054505599138</v>
      </c>
      <c r="I78">
        <v>8.9526278160772677</v>
      </c>
      <c r="J78">
        <v>2.364327948729342</v>
      </c>
      <c r="K78">
        <v>383.46163151937651</v>
      </c>
      <c r="L78">
        <v>2.4383356029334782</v>
      </c>
      <c r="M78">
        <v>0.63385945106653985</v>
      </c>
    </row>
    <row r="79" spans="1:13" x14ac:dyDescent="0.35">
      <c r="A79" s="5">
        <v>45566</v>
      </c>
      <c r="B79">
        <v>360.22963110874917</v>
      </c>
      <c r="C79">
        <v>8.4999110452486093E-2</v>
      </c>
      <c r="D79">
        <v>2.3593029606768099E-2</v>
      </c>
      <c r="E79">
        <v>440.88870512385739</v>
      </c>
      <c r="F79">
        <v>9.8083434162053891</v>
      </c>
      <c r="G79">
        <v>2.2496998550295229</v>
      </c>
      <c r="H79">
        <v>383.92677343795827</v>
      </c>
      <c r="I79">
        <v>9.7488561980441659</v>
      </c>
      <c r="J79">
        <v>2.571902355419287</v>
      </c>
      <c r="K79">
        <v>383.52437875409959</v>
      </c>
      <c r="L79">
        <v>4.0212246914821321</v>
      </c>
      <c r="M79">
        <v>1.043024572169317</v>
      </c>
    </row>
    <row r="80" spans="1:13" x14ac:dyDescent="0.35">
      <c r="A80" s="5">
        <v>45567</v>
      </c>
      <c r="B80">
        <v>359.64539451723982</v>
      </c>
      <c r="C80">
        <v>0.66923570196183846</v>
      </c>
      <c r="D80">
        <v>0.1859091279982738</v>
      </c>
      <c r="E80">
        <v>445.53963342191298</v>
      </c>
      <c r="F80">
        <v>14.45927171426098</v>
      </c>
      <c r="G80">
        <v>3.2988687902615941</v>
      </c>
      <c r="H80">
        <v>382.56213812532138</v>
      </c>
      <c r="I80">
        <v>6.6872601738944581</v>
      </c>
      <c r="J80">
        <v>1.763431908554882</v>
      </c>
      <c r="K80">
        <v>382.93054623853692</v>
      </c>
      <c r="L80">
        <v>6.253735143689596</v>
      </c>
      <c r="M80">
        <v>1.619897693963523</v>
      </c>
    </row>
    <row r="81" spans="1:13" x14ac:dyDescent="0.35">
      <c r="A81" s="5">
        <v>45568</v>
      </c>
      <c r="B81">
        <v>359.64362412105351</v>
      </c>
      <c r="C81">
        <v>0.67100609814815471</v>
      </c>
      <c r="D81">
        <v>0.18640139038701359</v>
      </c>
      <c r="E81">
        <v>445.00098281704499</v>
      </c>
      <c r="F81">
        <v>13.920621109392981</v>
      </c>
      <c r="G81">
        <v>3.1779288981311118</v>
      </c>
      <c r="H81">
        <v>383.8156869768415</v>
      </c>
      <c r="I81">
        <v>7.9408090254145796</v>
      </c>
      <c r="J81">
        <v>2.0905377510287639</v>
      </c>
      <c r="K81">
        <v>381.61669713204759</v>
      </c>
      <c r="L81">
        <v>9.1993913290084492</v>
      </c>
      <c r="M81">
        <v>2.381926686849468</v>
      </c>
    </row>
    <row r="82" spans="1:13" x14ac:dyDescent="0.35">
      <c r="A82" s="5">
        <v>45569</v>
      </c>
      <c r="B82">
        <v>359.64790541617748</v>
      </c>
      <c r="C82">
        <v>0.6667248030241808</v>
      </c>
      <c r="D82">
        <v>0.1852109714113899</v>
      </c>
      <c r="E82">
        <v>424.4862152778046</v>
      </c>
      <c r="F82">
        <v>3.6313596943053308</v>
      </c>
      <c r="G82">
        <v>0.8518281846344844</v>
      </c>
      <c r="H82">
        <v>378.6081146391391</v>
      </c>
      <c r="I82">
        <v>2.733236687712179</v>
      </c>
      <c r="J82">
        <v>0.7245323524994064</v>
      </c>
      <c r="K82">
        <v>382.14862515234103</v>
      </c>
      <c r="L82">
        <v>7.0356562298855474</v>
      </c>
      <c r="M82">
        <v>1.8242852522642199</v>
      </c>
    </row>
    <row r="83" spans="1:13" x14ac:dyDescent="0.35">
      <c r="A83" s="5">
        <v>45572</v>
      </c>
      <c r="B83">
        <v>359.84630544941541</v>
      </c>
      <c r="C83">
        <v>0.46832476978624982</v>
      </c>
      <c r="D83">
        <v>0.1300611423338156</v>
      </c>
      <c r="E83">
        <v>427.89711602651897</v>
      </c>
      <c r="F83">
        <v>0.22045894559096271</v>
      </c>
      <c r="G83">
        <v>5.1508215433493189E-2</v>
      </c>
      <c r="H83">
        <v>380.35707508388009</v>
      </c>
      <c r="I83">
        <v>4.4821971324532228</v>
      </c>
      <c r="J83">
        <v>1.1854027364125279</v>
      </c>
      <c r="K83">
        <v>381.51164332851249</v>
      </c>
      <c r="L83">
        <v>8.4893950515154302</v>
      </c>
      <c r="M83">
        <v>2.200714324673283</v>
      </c>
    </row>
    <row r="84" spans="1:13" x14ac:dyDescent="0.35">
      <c r="A84" s="5">
        <v>45573</v>
      </c>
      <c r="B84">
        <v>360.16744209735288</v>
      </c>
      <c r="C84">
        <v>3.6625360517821259</v>
      </c>
      <c r="D84">
        <v>1.0117538956244341</v>
      </c>
      <c r="E84">
        <v>430.21598698541482</v>
      </c>
      <c r="F84">
        <v>2.09841201330488</v>
      </c>
      <c r="G84">
        <v>0.48895024179625851</v>
      </c>
      <c r="H84">
        <v>381.79722757280678</v>
      </c>
      <c r="I84">
        <v>7.6193103328926668</v>
      </c>
      <c r="J84">
        <v>2.015756836762193</v>
      </c>
      <c r="K84">
        <v>381.31478222767538</v>
      </c>
      <c r="L84">
        <v>8.6862561523524846</v>
      </c>
      <c r="M84">
        <v>2.2523215316674712</v>
      </c>
    </row>
    <row r="85" spans="1:13" x14ac:dyDescent="0.35">
      <c r="A85" s="5">
        <v>45574</v>
      </c>
      <c r="B85">
        <v>359.67443447151902</v>
      </c>
      <c r="C85">
        <v>4.1555436776159809</v>
      </c>
      <c r="D85">
        <v>1.148726560647751</v>
      </c>
      <c r="E85">
        <v>429.24066992710158</v>
      </c>
      <c r="F85">
        <v>0.36085256205336691</v>
      </c>
      <c r="G85">
        <v>8.4032332188559128E-2</v>
      </c>
      <c r="H85">
        <v>380.65065809362858</v>
      </c>
      <c r="I85">
        <v>6.4727408537144697</v>
      </c>
      <c r="J85">
        <v>1.715022738998532</v>
      </c>
      <c r="K85">
        <v>381.77132029628439</v>
      </c>
      <c r="L85">
        <v>7.7398694017779803</v>
      </c>
      <c r="M85">
        <v>2.0070128134591561</v>
      </c>
    </row>
    <row r="86" spans="1:13" x14ac:dyDescent="0.35">
      <c r="A86" s="5">
        <v>45575</v>
      </c>
      <c r="B86">
        <v>359.80071610288678</v>
      </c>
      <c r="C86">
        <v>4.7282636092892858</v>
      </c>
      <c r="D86">
        <v>1.3055556431298121</v>
      </c>
      <c r="E86">
        <v>429.92619969027578</v>
      </c>
      <c r="F86">
        <v>0.32467720112077808</v>
      </c>
      <c r="G86">
        <v>7.5547813698788352E-2</v>
      </c>
      <c r="H86">
        <v>379.40439704095758</v>
      </c>
      <c r="I86">
        <v>5.2264798010434674</v>
      </c>
      <c r="J86">
        <v>1.387102563846919</v>
      </c>
      <c r="K86">
        <v>382.13425707697911</v>
      </c>
      <c r="L86">
        <v>7.376932621083256</v>
      </c>
      <c r="M86">
        <v>1.912000557228416</v>
      </c>
    </row>
    <row r="87" spans="1:13" x14ac:dyDescent="0.35">
      <c r="A87" s="5">
        <v>45576</v>
      </c>
      <c r="B87">
        <v>359.66719753138341</v>
      </c>
      <c r="C87">
        <v>4.5124491060968239</v>
      </c>
      <c r="D87">
        <v>1.2467966511004429</v>
      </c>
      <c r="E87">
        <v>432.70256414275951</v>
      </c>
      <c r="F87">
        <v>3.1010416536045109</v>
      </c>
      <c r="G87">
        <v>0.71924549626499146</v>
      </c>
      <c r="H87">
        <v>380.61501191909281</v>
      </c>
      <c r="I87">
        <v>6.4370946791785846</v>
      </c>
      <c r="J87">
        <v>1.705658447635648</v>
      </c>
      <c r="K87">
        <v>382.05908579271932</v>
      </c>
      <c r="L87">
        <v>7.4521039053430513</v>
      </c>
      <c r="M87">
        <v>1.931672108701413</v>
      </c>
    </row>
    <row r="88" spans="1:13" x14ac:dyDescent="0.35">
      <c r="A88" s="5">
        <v>45579</v>
      </c>
      <c r="B88">
        <v>359.66640150853527</v>
      </c>
      <c r="C88">
        <v>4.5132451289448454</v>
      </c>
      <c r="D88">
        <v>1.2470179648019351</v>
      </c>
      <c r="E88">
        <v>428.97645256785938</v>
      </c>
      <c r="F88">
        <v>0.62506992129561922</v>
      </c>
      <c r="G88">
        <v>0.14560585979488011</v>
      </c>
      <c r="H88">
        <v>379.25311910684911</v>
      </c>
      <c r="I88">
        <v>5.0752018669349468</v>
      </c>
      <c r="J88">
        <v>1.347223998507834</v>
      </c>
      <c r="K88">
        <v>381.06215828632628</v>
      </c>
      <c r="L88">
        <v>8.9388800937015844</v>
      </c>
      <c r="M88">
        <v>2.3185855925553929</v>
      </c>
    </row>
    <row r="89" spans="1:13" x14ac:dyDescent="0.35">
      <c r="A89" s="5">
        <v>45580</v>
      </c>
      <c r="B89">
        <v>359.2451577840913</v>
      </c>
      <c r="C89">
        <v>4.5848203650436972</v>
      </c>
      <c r="D89">
        <v>1.2681449374210221</v>
      </c>
      <c r="E89">
        <v>431.08736015541359</v>
      </c>
      <c r="F89">
        <v>4.4588943036845876</v>
      </c>
      <c r="G89">
        <v>1.0397136600455941</v>
      </c>
      <c r="H89">
        <v>378.81306352888322</v>
      </c>
      <c r="I89">
        <v>4.6351462889690538</v>
      </c>
      <c r="J89">
        <v>1.2311292983181821</v>
      </c>
      <c r="K89">
        <v>381.15723218538199</v>
      </c>
      <c r="L89">
        <v>8.8438061946458788</v>
      </c>
      <c r="M89">
        <v>2.2936423124040739</v>
      </c>
    </row>
    <row r="90" spans="1:13" x14ac:dyDescent="0.35">
      <c r="A90" s="5">
        <v>45581</v>
      </c>
      <c r="B90">
        <v>358.98795256108258</v>
      </c>
      <c r="C90">
        <v>4.1416784937242141</v>
      </c>
      <c r="D90">
        <v>1.147092547722051</v>
      </c>
      <c r="E90">
        <v>424.64680482525517</v>
      </c>
      <c r="F90">
        <v>0.48733606441760458</v>
      </c>
      <c r="G90">
        <v>0.1146968679104952</v>
      </c>
      <c r="H90">
        <v>379.59292662678843</v>
      </c>
      <c r="I90">
        <v>5.4150093868742033</v>
      </c>
      <c r="J90">
        <v>1.436778679073395</v>
      </c>
      <c r="K90">
        <v>380.54287121659399</v>
      </c>
      <c r="L90">
        <v>8.6414101656325215</v>
      </c>
      <c r="M90">
        <v>2.245317743165645</v>
      </c>
    </row>
    <row r="91" spans="1:13" x14ac:dyDescent="0.35">
      <c r="A91" s="5">
        <v>45582</v>
      </c>
      <c r="B91">
        <v>360.15189516496429</v>
      </c>
      <c r="C91">
        <v>1.2209300792700899</v>
      </c>
      <c r="D91">
        <v>0.3384305609314846</v>
      </c>
      <c r="E91">
        <v>429.09636507959573</v>
      </c>
      <c r="F91">
        <v>3.9622241899228361</v>
      </c>
      <c r="G91">
        <v>0.92767096521026715</v>
      </c>
      <c r="H91">
        <v>380.13855126556678</v>
      </c>
      <c r="I91">
        <v>5.9606340256526664</v>
      </c>
      <c r="J91">
        <v>1.580406705812057</v>
      </c>
      <c r="K91">
        <v>381.16756847834552</v>
      </c>
      <c r="L91">
        <v>8.0167129038810572</v>
      </c>
      <c r="M91">
        <v>2.081312040811484</v>
      </c>
    </row>
    <row r="92" spans="1:13" x14ac:dyDescent="0.35">
      <c r="A92" s="5">
        <v>45583</v>
      </c>
      <c r="B92">
        <v>359.45373861545352</v>
      </c>
      <c r="C92">
        <v>1.5666995871500831</v>
      </c>
      <c r="D92">
        <v>0.4349079085857987</v>
      </c>
      <c r="E92">
        <v>430.56549405951972</v>
      </c>
      <c r="F92">
        <v>5.4313531698468296</v>
      </c>
      <c r="G92">
        <v>1.2694531931568049</v>
      </c>
      <c r="H92">
        <v>379.67660428351309</v>
      </c>
      <c r="I92">
        <v>3.801726332086218</v>
      </c>
      <c r="J92">
        <v>1.0063447485644821</v>
      </c>
      <c r="K92">
        <v>380.39842601838609</v>
      </c>
      <c r="L92">
        <v>8.7858553638403691</v>
      </c>
      <c r="M92">
        <v>2.2832777502280348</v>
      </c>
    </row>
    <row r="93" spans="1:13" x14ac:dyDescent="0.35">
      <c r="A93" s="5">
        <v>45586</v>
      </c>
      <c r="B93">
        <v>360.01730064069329</v>
      </c>
      <c r="C93">
        <v>1.0031375619103069</v>
      </c>
      <c r="D93">
        <v>0.27824828240462401</v>
      </c>
      <c r="E93">
        <v>429.97391794271499</v>
      </c>
      <c r="F93">
        <v>4.8397770530422122</v>
      </c>
      <c r="G93">
        <v>1.1319685279660929</v>
      </c>
      <c r="H93">
        <v>379.54736419300917</v>
      </c>
      <c r="I93">
        <v>3.672486241582249</v>
      </c>
      <c r="J93">
        <v>0.97230026776999967</v>
      </c>
      <c r="K93">
        <v>381.72225507936588</v>
      </c>
      <c r="L93">
        <v>6.6435516190353496</v>
      </c>
      <c r="M93">
        <v>1.725400496067564</v>
      </c>
    </row>
    <row r="94" spans="1:13" x14ac:dyDescent="0.35">
      <c r="A94" s="5">
        <v>45587</v>
      </c>
      <c r="B94">
        <v>359.84010454541442</v>
      </c>
      <c r="C94">
        <v>1.1803336571892371</v>
      </c>
      <c r="D94">
        <v>0.32747905792974719</v>
      </c>
      <c r="E94">
        <v>431.68551697033331</v>
      </c>
      <c r="F94">
        <v>6.5513760806604182</v>
      </c>
      <c r="G94">
        <v>1.5292310395919571</v>
      </c>
      <c r="H94">
        <v>380.14407458432612</v>
      </c>
      <c r="I94">
        <v>4.2691966328991384</v>
      </c>
      <c r="J94">
        <v>1.12938878544774</v>
      </c>
      <c r="K94">
        <v>382.03475711051448</v>
      </c>
      <c r="L94">
        <v>6.3310495878867528</v>
      </c>
      <c r="M94">
        <v>1.6435734565368381</v>
      </c>
    </row>
    <row r="95" spans="1:13" x14ac:dyDescent="0.35">
      <c r="A95" s="5">
        <v>45588</v>
      </c>
      <c r="B95">
        <v>359.95865746100469</v>
      </c>
      <c r="C95">
        <v>0.70904940363834612</v>
      </c>
      <c r="D95">
        <v>0.19678697276135981</v>
      </c>
      <c r="E95">
        <v>435.96903627848911</v>
      </c>
      <c r="F95">
        <v>10.83489538881628</v>
      </c>
      <c r="G95">
        <v>2.5165150184320728</v>
      </c>
      <c r="H95">
        <v>380.23402798075631</v>
      </c>
      <c r="I95">
        <v>4.3591500293293848</v>
      </c>
      <c r="J95">
        <v>1.1530481905791381</v>
      </c>
      <c r="K95">
        <v>381.35030235701532</v>
      </c>
      <c r="L95">
        <v>7.015504341385963</v>
      </c>
      <c r="M95">
        <v>1.822880996993884</v>
      </c>
    </row>
    <row r="96" spans="1:13" x14ac:dyDescent="0.35">
      <c r="A96" s="5">
        <v>45589</v>
      </c>
      <c r="B96">
        <v>359.91211438959539</v>
      </c>
      <c r="C96">
        <v>0.75559247504764926</v>
      </c>
      <c r="D96">
        <v>0.2097179112599814</v>
      </c>
      <c r="E96">
        <v>431.45248404215278</v>
      </c>
      <c r="F96">
        <v>6.3183431524799971</v>
      </c>
      <c r="G96">
        <v>1.475237405903427</v>
      </c>
      <c r="H96">
        <v>380.71459287936602</v>
      </c>
      <c r="I96">
        <v>1.46857230037557</v>
      </c>
      <c r="J96">
        <v>0.38648642426152291</v>
      </c>
      <c r="K96">
        <v>381.53924176499021</v>
      </c>
      <c r="L96">
        <v>6.8265649334111336</v>
      </c>
      <c r="M96">
        <v>1.773352427558663</v>
      </c>
    </row>
    <row r="97" spans="1:13" x14ac:dyDescent="0.35">
      <c r="A97" s="5">
        <v>45590</v>
      </c>
      <c r="B97">
        <v>359.24723130152631</v>
      </c>
      <c r="C97">
        <v>1.4204755631167809</v>
      </c>
      <c r="D97">
        <v>0.39462316665775532</v>
      </c>
      <c r="E97">
        <v>434.26568816004732</v>
      </c>
      <c r="F97">
        <v>9.1315472703744263</v>
      </c>
      <c r="G97">
        <v>2.1250986936945542</v>
      </c>
      <c r="H97">
        <v>379.28214072098609</v>
      </c>
      <c r="I97">
        <v>3.3053190512861761</v>
      </c>
      <c r="J97">
        <v>0.86768629412335241</v>
      </c>
      <c r="K97">
        <v>380.35905875131613</v>
      </c>
      <c r="L97">
        <v>7.1865446942655922</v>
      </c>
      <c r="M97">
        <v>1.871728366306725</v>
      </c>
    </row>
    <row r="98" spans="1:13" x14ac:dyDescent="0.35">
      <c r="A98" s="5">
        <v>45593</v>
      </c>
      <c r="B98">
        <v>360.00805609835868</v>
      </c>
      <c r="C98">
        <v>2.0685143601563709</v>
      </c>
      <c r="D98">
        <v>0.57292851393878697</v>
      </c>
      <c r="E98">
        <v>429.47831006873758</v>
      </c>
      <c r="F98">
        <v>4.3441691790648056</v>
      </c>
      <c r="G98">
        <v>1.0166407414712959</v>
      </c>
      <c r="H98">
        <v>381.56149774956208</v>
      </c>
      <c r="I98">
        <v>3.9972859921447821</v>
      </c>
      <c r="J98">
        <v>1.0531288670860179</v>
      </c>
      <c r="K98">
        <v>379.93211908318631</v>
      </c>
      <c r="L98">
        <v>7.613484362395468</v>
      </c>
      <c r="M98">
        <v>1.984027454845134</v>
      </c>
    </row>
    <row r="99" spans="1:13" x14ac:dyDescent="0.35">
      <c r="A99" s="5">
        <v>45594</v>
      </c>
      <c r="B99">
        <v>359.40293366461162</v>
      </c>
      <c r="C99">
        <v>2.673636793903484</v>
      </c>
      <c r="D99">
        <v>0.74115391459469671</v>
      </c>
      <c r="E99">
        <v>433.2151036730308</v>
      </c>
      <c r="F99">
        <v>8.0809627833579611</v>
      </c>
      <c r="G99">
        <v>1.8829078803406869</v>
      </c>
      <c r="H99">
        <v>384.96019689828222</v>
      </c>
      <c r="I99">
        <v>7.3959851408648092</v>
      </c>
      <c r="J99">
        <v>1.9398684309407559</v>
      </c>
      <c r="K99">
        <v>380.43720563727089</v>
      </c>
      <c r="L99">
        <v>7.1083978083107704</v>
      </c>
      <c r="M99">
        <v>1.851186699556417</v>
      </c>
    </row>
    <row r="100" spans="1:13" x14ac:dyDescent="0.35">
      <c r="A100" s="5">
        <v>45595</v>
      </c>
      <c r="B100">
        <v>359.61295197163253</v>
      </c>
      <c r="C100">
        <v>2.4636184868825808</v>
      </c>
      <c r="D100">
        <v>0.68273638741125875</v>
      </c>
      <c r="E100">
        <v>434.74537215410339</v>
      </c>
      <c r="F100">
        <v>11.11082726310917</v>
      </c>
      <c r="G100">
        <v>2.5887901248568981</v>
      </c>
      <c r="H100">
        <v>387.23987235063981</v>
      </c>
      <c r="I100">
        <v>9.6756605932224033</v>
      </c>
      <c r="J100">
        <v>2.530232459338003</v>
      </c>
      <c r="K100">
        <v>379.7553898262052</v>
      </c>
      <c r="L100">
        <v>8.1185030500749917</v>
      </c>
      <c r="M100">
        <v>2.1152145268594489</v>
      </c>
    </row>
    <row r="101" spans="1:13" x14ac:dyDescent="0.35">
      <c r="A101" s="5">
        <v>45596</v>
      </c>
      <c r="B101">
        <v>359.08267189980648</v>
      </c>
      <c r="C101">
        <v>2.6420259515682569</v>
      </c>
      <c r="D101">
        <v>0.73307406734208791</v>
      </c>
      <c r="E101">
        <v>433.63694623004818</v>
      </c>
      <c r="F101">
        <v>10.002401339053961</v>
      </c>
      <c r="G101">
        <v>2.3335434439733769</v>
      </c>
      <c r="H101">
        <v>385.08479650956508</v>
      </c>
      <c r="I101">
        <v>4.1643924223068893</v>
      </c>
      <c r="J101">
        <v>1.087301344445768</v>
      </c>
      <c r="K101">
        <v>380.17464890724682</v>
      </c>
      <c r="L101">
        <v>7.3709545383349004</v>
      </c>
      <c r="M101">
        <v>1.920218859863384</v>
      </c>
    </row>
    <row r="102" spans="1:13" x14ac:dyDescent="0.35">
      <c r="A102" s="5">
        <v>45597</v>
      </c>
      <c r="B102">
        <v>359.30778288174258</v>
      </c>
      <c r="C102">
        <v>2.0650423624917948</v>
      </c>
      <c r="D102">
        <v>0.57308115112508118</v>
      </c>
      <c r="E102">
        <v>435.16687723155678</v>
      </c>
      <c r="F102">
        <v>11.53233234056256</v>
      </c>
      <c r="G102">
        <v>2.6856807740397248</v>
      </c>
      <c r="H102">
        <v>387.20876215916587</v>
      </c>
      <c r="I102">
        <v>7.9627415801755319</v>
      </c>
      <c r="J102">
        <v>2.077811179344113</v>
      </c>
      <c r="K102">
        <v>381.08629937659492</v>
      </c>
      <c r="L102">
        <v>6.4593040689868531</v>
      </c>
      <c r="M102">
        <v>1.680727548588679</v>
      </c>
    </row>
    <row r="103" spans="1:13" x14ac:dyDescent="0.35">
      <c r="A103" s="5">
        <v>45600</v>
      </c>
      <c r="B103">
        <v>359.0675092299316</v>
      </c>
      <c r="C103">
        <v>2.3053160143027749</v>
      </c>
      <c r="D103">
        <v>0.63997416690595843</v>
      </c>
      <c r="E103">
        <v>438.15899115090468</v>
      </c>
      <c r="F103">
        <v>14.52444625991046</v>
      </c>
      <c r="G103">
        <v>3.370748480342348</v>
      </c>
      <c r="H103">
        <v>388.28180645365239</v>
      </c>
      <c r="I103">
        <v>10.717594696235039</v>
      </c>
      <c r="J103">
        <v>2.798890231555978</v>
      </c>
      <c r="K103">
        <v>381.31512019564701</v>
      </c>
      <c r="L103">
        <v>6.230483249934764</v>
      </c>
      <c r="M103">
        <v>1.6207053002858469</v>
      </c>
    </row>
    <row r="104" spans="1:13" x14ac:dyDescent="0.35">
      <c r="A104" s="5">
        <v>45601</v>
      </c>
      <c r="B104">
        <v>359.51489132102921</v>
      </c>
      <c r="C104">
        <v>1.857933923205223</v>
      </c>
      <c r="D104">
        <v>0.51545722877829558</v>
      </c>
      <c r="E104">
        <v>436.18407256770848</v>
      </c>
      <c r="F104">
        <v>14.0544508873532</v>
      </c>
      <c r="G104">
        <v>3.2748984390062081</v>
      </c>
      <c r="H104">
        <v>386.52015870393211</v>
      </c>
      <c r="I104">
        <v>10.64528075250513</v>
      </c>
      <c r="J104">
        <v>2.7925892065630848</v>
      </c>
      <c r="K104">
        <v>380.40458403800409</v>
      </c>
      <c r="L104">
        <v>7.1410194075776303</v>
      </c>
      <c r="M104">
        <v>1.8597610949161341</v>
      </c>
    </row>
    <row r="105" spans="1:13" x14ac:dyDescent="0.35">
      <c r="A105" s="5">
        <v>45602</v>
      </c>
      <c r="B105">
        <v>359.55655834535048</v>
      </c>
      <c r="C105">
        <v>1.4638798572531191</v>
      </c>
      <c r="D105">
        <v>0.40630768516510529</v>
      </c>
      <c r="E105">
        <v>437.27226910615241</v>
      </c>
      <c r="F105">
        <v>15.14264742579701</v>
      </c>
      <c r="G105">
        <v>3.5239967675516142</v>
      </c>
      <c r="H105">
        <v>388.08306520065179</v>
      </c>
      <c r="I105">
        <v>12.20818724922486</v>
      </c>
      <c r="J105">
        <v>3.1960364725979691</v>
      </c>
      <c r="K105">
        <v>380.62531052051202</v>
      </c>
      <c r="L105">
        <v>6.9202929250697593</v>
      </c>
      <c r="M105">
        <v>1.8017586449192751</v>
      </c>
    </row>
    <row r="106" spans="1:13" x14ac:dyDescent="0.35">
      <c r="A106" s="5">
        <v>45603</v>
      </c>
      <c r="B106">
        <v>359.47128216393207</v>
      </c>
      <c r="C106">
        <v>1.54915603867147</v>
      </c>
      <c r="D106">
        <v>0.43002743678535688</v>
      </c>
      <c r="E106">
        <v>425.4204066991299</v>
      </c>
      <c r="F106">
        <v>3.2907850187745571</v>
      </c>
      <c r="G106">
        <v>0.77654059550125443</v>
      </c>
      <c r="H106">
        <v>387.86440101518531</v>
      </c>
      <c r="I106">
        <v>11.98952306375838</v>
      </c>
      <c r="J106">
        <v>3.1396900471011402</v>
      </c>
      <c r="K106">
        <v>379.98657024533208</v>
      </c>
      <c r="L106">
        <v>7.2304654400828099</v>
      </c>
      <c r="M106">
        <v>1.884888283680844</v>
      </c>
    </row>
    <row r="107" spans="1:13" x14ac:dyDescent="0.35">
      <c r="A107" s="5">
        <v>45604</v>
      </c>
      <c r="B107">
        <v>359.23663078911437</v>
      </c>
      <c r="C107">
        <v>1.7838074134892281</v>
      </c>
      <c r="D107">
        <v>0.4953252082583135</v>
      </c>
      <c r="E107">
        <v>431.84097386556539</v>
      </c>
      <c r="F107">
        <v>9.711352185210103</v>
      </c>
      <c r="G107">
        <v>2.2743996657172678</v>
      </c>
      <c r="H107">
        <v>389.72821858168521</v>
      </c>
      <c r="I107">
        <v>13.853340630258289</v>
      </c>
      <c r="J107">
        <v>3.6189353708182441</v>
      </c>
      <c r="K107">
        <v>380.5692238666677</v>
      </c>
      <c r="L107">
        <v>5.3307432556422327</v>
      </c>
      <c r="M107">
        <v>1.390986961593055</v>
      </c>
    </row>
    <row r="108" spans="1:13" x14ac:dyDescent="0.35">
      <c r="A108" s="5">
        <v>45607</v>
      </c>
      <c r="B108">
        <v>358.98974511050289</v>
      </c>
      <c r="C108">
        <v>1.3248851086987661</v>
      </c>
      <c r="D108">
        <v>0.3683795495033606</v>
      </c>
      <c r="E108">
        <v>433.24121995134072</v>
      </c>
      <c r="F108">
        <v>11.111598270985329</v>
      </c>
      <c r="G108">
        <v>2.5980774022619122</v>
      </c>
      <c r="H108">
        <v>391.91668598305961</v>
      </c>
      <c r="I108">
        <v>16.04180803163263</v>
      </c>
      <c r="J108">
        <v>4.1786882756115844</v>
      </c>
      <c r="K108">
        <v>380.2787509586226</v>
      </c>
      <c r="L108">
        <v>5.6212161636873361</v>
      </c>
      <c r="M108">
        <v>1.467338110817521</v>
      </c>
    </row>
    <row r="109" spans="1:13" x14ac:dyDescent="0.35">
      <c r="A109" s="5">
        <v>45608</v>
      </c>
      <c r="B109">
        <v>358.33439283698942</v>
      </c>
      <c r="C109">
        <v>1.626814413180909</v>
      </c>
      <c r="D109">
        <v>0.45296516169206807</v>
      </c>
      <c r="E109">
        <v>432.12071921216062</v>
      </c>
      <c r="F109">
        <v>9.9910975318052238</v>
      </c>
      <c r="G109">
        <v>2.3391497910007431</v>
      </c>
      <c r="H109">
        <v>389.27122793166711</v>
      </c>
      <c r="I109">
        <v>10.02520735267672</v>
      </c>
      <c r="J109">
        <v>2.6089739357457451</v>
      </c>
      <c r="K109">
        <v>380.3917571852283</v>
      </c>
      <c r="L109">
        <v>3.8555258240339749</v>
      </c>
      <c r="M109">
        <v>1.008456440584905</v>
      </c>
    </row>
    <row r="110" spans="1:13" x14ac:dyDescent="0.35">
      <c r="A110" s="5">
        <v>45609</v>
      </c>
      <c r="B110">
        <v>358.64964782146041</v>
      </c>
      <c r="C110">
        <v>2.0180590431826322</v>
      </c>
      <c r="D110">
        <v>0.56110394946977804</v>
      </c>
      <c r="E110">
        <v>432.18539941340327</v>
      </c>
      <c r="F110">
        <v>10.055777733047989</v>
      </c>
      <c r="G110">
        <v>2.3541146965141291</v>
      </c>
      <c r="H110">
        <v>391.91981323844527</v>
      </c>
      <c r="I110">
        <v>14.35560148102792</v>
      </c>
      <c r="J110">
        <v>3.7312279435833871</v>
      </c>
      <c r="K110">
        <v>380.47457664704802</v>
      </c>
      <c r="L110">
        <v>3.7727063622142509</v>
      </c>
      <c r="M110">
        <v>0.98668720256272457</v>
      </c>
    </row>
    <row r="111" spans="1:13" x14ac:dyDescent="0.35">
      <c r="A111" s="5">
        <v>45610</v>
      </c>
      <c r="B111">
        <v>358.30274482993678</v>
      </c>
      <c r="C111">
        <v>1.658462420233491</v>
      </c>
      <c r="D111">
        <v>0.46179748139400478</v>
      </c>
      <c r="E111">
        <v>434.34593373881381</v>
      </c>
      <c r="F111">
        <v>12.21631205845847</v>
      </c>
      <c r="G111">
        <v>2.8526936889587349</v>
      </c>
      <c r="H111">
        <v>393.75814039045781</v>
      </c>
      <c r="I111">
        <v>16.1939286330404</v>
      </c>
      <c r="J111">
        <v>4.1990041097462552</v>
      </c>
      <c r="K111">
        <v>381.04924363140623</v>
      </c>
      <c r="L111">
        <v>3.1980393778560479</v>
      </c>
      <c r="M111">
        <v>0.83576477000205351</v>
      </c>
    </row>
    <row r="112" spans="1:13" x14ac:dyDescent="0.35">
      <c r="A112" s="5">
        <v>45611</v>
      </c>
      <c r="B112">
        <v>358.2884353623752</v>
      </c>
      <c r="C112">
        <v>1.3190015740707961</v>
      </c>
      <c r="D112">
        <v>0.36746320043522013</v>
      </c>
      <c r="E112">
        <v>432.59736482967969</v>
      </c>
      <c r="F112">
        <v>10.467743149324351</v>
      </c>
      <c r="G112">
        <v>2.449377009158336</v>
      </c>
      <c r="H112">
        <v>392.77529657838193</v>
      </c>
      <c r="I112">
        <v>15.211084820964521</v>
      </c>
      <c r="J112">
        <v>3.949189845870873</v>
      </c>
      <c r="K112">
        <v>380.87341846639561</v>
      </c>
      <c r="L112">
        <v>2.5448511002747982</v>
      </c>
      <c r="M112">
        <v>0.66593713895386353</v>
      </c>
    </row>
    <row r="113" spans="1:13" x14ac:dyDescent="0.35">
      <c r="A113" s="5">
        <v>45614</v>
      </c>
      <c r="B113">
        <v>358.47744761238528</v>
      </c>
      <c r="C113">
        <v>0.77587063951341406</v>
      </c>
      <c r="D113">
        <v>0.2162010259039453</v>
      </c>
      <c r="E113">
        <v>433.8295049543176</v>
      </c>
      <c r="F113">
        <v>11.699883273962261</v>
      </c>
      <c r="G113">
        <v>2.7337481218202622</v>
      </c>
      <c r="H113">
        <v>393.5382213013097</v>
      </c>
      <c r="I113">
        <v>15.97400954389235</v>
      </c>
      <c r="J113">
        <v>4.1431614942591546</v>
      </c>
      <c r="K113">
        <v>379.78808185023411</v>
      </c>
      <c r="L113">
        <v>3.6301877164363532</v>
      </c>
      <c r="M113">
        <v>0.95129913677915512</v>
      </c>
    </row>
    <row r="114" spans="1:13" x14ac:dyDescent="0.35">
      <c r="A114" s="5">
        <v>45615</v>
      </c>
      <c r="B114">
        <v>358.07190510928962</v>
      </c>
      <c r="C114">
        <v>1.181413142609131</v>
      </c>
      <c r="D114">
        <v>0.32939400543406322</v>
      </c>
      <c r="E114">
        <v>419.78790490929259</v>
      </c>
      <c r="F114">
        <v>0.6843410375449821</v>
      </c>
      <c r="G114">
        <v>0.16315365288894171</v>
      </c>
      <c r="H114">
        <v>384.82514591086112</v>
      </c>
      <c r="I114">
        <v>5.5791253318706708</v>
      </c>
      <c r="J114">
        <v>1.460367980511869</v>
      </c>
      <c r="K114">
        <v>379.19142740943141</v>
      </c>
      <c r="L114">
        <v>4.226842157239048</v>
      </c>
      <c r="M114">
        <v>1.108520432929009</v>
      </c>
    </row>
    <row r="115" spans="1:13" x14ac:dyDescent="0.35">
      <c r="A115" s="5">
        <v>45616</v>
      </c>
      <c r="B115">
        <v>358.16580901560769</v>
      </c>
      <c r="C115">
        <v>2.3052620261751141E-2</v>
      </c>
      <c r="D115">
        <v>6.4360912844432993E-3</v>
      </c>
      <c r="E115">
        <v>426.60468465163513</v>
      </c>
      <c r="F115">
        <v>7.501120779887458</v>
      </c>
      <c r="G115">
        <v>1.773926361244436</v>
      </c>
      <c r="H115">
        <v>384.74504596433678</v>
      </c>
      <c r="I115">
        <v>7.1808342069194282</v>
      </c>
      <c r="J115">
        <v>1.8839687788602071</v>
      </c>
      <c r="K115">
        <v>380.02792243963489</v>
      </c>
      <c r="L115">
        <v>1.7269194582773371</v>
      </c>
      <c r="M115">
        <v>0.45338895525657591</v>
      </c>
    </row>
    <row r="116" spans="1:13" x14ac:dyDescent="0.35">
      <c r="A116" s="5">
        <v>45617</v>
      </c>
      <c r="B116">
        <v>358.12621085225362</v>
      </c>
      <c r="C116">
        <v>6.2650783615879391E-2</v>
      </c>
      <c r="D116">
        <v>1.7492521383994208E-2</v>
      </c>
      <c r="E116">
        <v>427.08563193448521</v>
      </c>
      <c r="F116">
        <v>7.9820680627375964</v>
      </c>
      <c r="G116">
        <v>1.886591817124875</v>
      </c>
      <c r="H116">
        <v>385.95279544707103</v>
      </c>
      <c r="I116">
        <v>8.3885836896536716</v>
      </c>
      <c r="J116">
        <v>2.1973534604991429</v>
      </c>
      <c r="K116">
        <v>379.48662065563963</v>
      </c>
      <c r="L116">
        <v>1.433783431618622</v>
      </c>
      <c r="M116">
        <v>0.37710946505350817</v>
      </c>
    </row>
    <row r="117" spans="1:13" x14ac:dyDescent="0.35">
      <c r="A117" s="5">
        <v>45618</v>
      </c>
      <c r="B117">
        <v>358.03307330187971</v>
      </c>
      <c r="C117">
        <v>0.1997341969272384</v>
      </c>
      <c r="D117">
        <v>5.5802086385281537E-2</v>
      </c>
      <c r="E117">
        <v>425.96172053921242</v>
      </c>
      <c r="F117">
        <v>6.8581566674648116</v>
      </c>
      <c r="G117">
        <v>1.6231069466414489</v>
      </c>
      <c r="H117">
        <v>383.9261081132039</v>
      </c>
      <c r="I117">
        <v>8.0512301617769708</v>
      </c>
      <c r="J117">
        <v>2.1192997401801481</v>
      </c>
      <c r="K117">
        <v>380.40185425548742</v>
      </c>
      <c r="L117">
        <v>0.51854983177082659</v>
      </c>
      <c r="M117">
        <v>0.13622347858306691</v>
      </c>
    </row>
    <row r="118" spans="1:13" x14ac:dyDescent="0.35">
      <c r="A118" s="5">
        <v>45621</v>
      </c>
      <c r="B118">
        <v>358.1639035561368</v>
      </c>
      <c r="C118">
        <v>1.756200952784013</v>
      </c>
      <c r="D118">
        <v>0.49153952875984652</v>
      </c>
      <c r="E118">
        <v>424.76220465408829</v>
      </c>
      <c r="F118">
        <v>5.658640782340683</v>
      </c>
      <c r="G118">
        <v>1.3411234329900259</v>
      </c>
      <c r="H118">
        <v>384.86032055772051</v>
      </c>
      <c r="I118">
        <v>8.9854426062935318</v>
      </c>
      <c r="J118">
        <v>2.3623049449802669</v>
      </c>
      <c r="K118">
        <v>380.45796457574119</v>
      </c>
      <c r="L118">
        <v>0.46243951151706142</v>
      </c>
      <c r="M118">
        <v>0.1214742972877248</v>
      </c>
    </row>
    <row r="119" spans="1:13" x14ac:dyDescent="0.35">
      <c r="A119" s="5">
        <v>45622</v>
      </c>
      <c r="B119">
        <v>357.84154853703922</v>
      </c>
      <c r="C119">
        <v>1.0769027269475939</v>
      </c>
      <c r="D119">
        <v>0.30139753488463922</v>
      </c>
      <c r="E119">
        <v>429.76517490377398</v>
      </c>
      <c r="F119">
        <v>10.66161103202643</v>
      </c>
      <c r="G119">
        <v>2.5119575135740311</v>
      </c>
      <c r="H119">
        <v>384.31184428990991</v>
      </c>
      <c r="I119">
        <v>10.133927049995689</v>
      </c>
      <c r="J119">
        <v>2.6721328524082422</v>
      </c>
      <c r="K119">
        <v>381.18091322878229</v>
      </c>
      <c r="L119">
        <v>0.26050914152403948</v>
      </c>
      <c r="M119">
        <v>6.8366012656032968E-2</v>
      </c>
    </row>
    <row r="120" spans="1:13" x14ac:dyDescent="0.35">
      <c r="A120" s="5">
        <v>45623</v>
      </c>
      <c r="B120">
        <v>357.67038487403488</v>
      </c>
      <c r="C120">
        <v>0.90573906394331516</v>
      </c>
      <c r="D120">
        <v>0.25355393423975842</v>
      </c>
      <c r="E120">
        <v>426.83045851598672</v>
      </c>
      <c r="F120">
        <v>7.7268946442390529</v>
      </c>
      <c r="G120">
        <v>1.8268315116181519</v>
      </c>
      <c r="H120">
        <v>383.61357216369078</v>
      </c>
      <c r="I120">
        <v>9.4356549237766103</v>
      </c>
      <c r="J120">
        <v>2.490303746008713</v>
      </c>
      <c r="K120">
        <v>380.11505249620922</v>
      </c>
      <c r="L120">
        <v>0.80535159104908871</v>
      </c>
      <c r="M120">
        <v>0.21164627326683819</v>
      </c>
    </row>
    <row r="121" spans="1:13" x14ac:dyDescent="0.35">
      <c r="A121" s="5">
        <v>45624</v>
      </c>
      <c r="B121">
        <v>358.05540390991138</v>
      </c>
      <c r="C121">
        <v>1.290758099819868</v>
      </c>
      <c r="D121">
        <v>0.36114210851401268</v>
      </c>
      <c r="E121">
        <v>428.97358421867028</v>
      </c>
      <c r="F121">
        <v>8.8613344107201897</v>
      </c>
      <c r="G121">
        <v>2.0872646923567348</v>
      </c>
      <c r="H121">
        <v>384.78604049954299</v>
      </c>
      <c r="I121">
        <v>10.60812325962883</v>
      </c>
      <c r="J121">
        <v>2.7954221413160831</v>
      </c>
      <c r="K121">
        <v>380.19104922226398</v>
      </c>
      <c r="L121">
        <v>0.1069148684345009</v>
      </c>
      <c r="M121">
        <v>2.812530797904178E-2</v>
      </c>
    </row>
    <row r="122" spans="1:13" x14ac:dyDescent="0.35">
      <c r="A122" s="5">
        <v>45625</v>
      </c>
      <c r="B122">
        <v>357.91187662593393</v>
      </c>
      <c r="C122">
        <v>0.79064437419566502</v>
      </c>
      <c r="D122">
        <v>0.22114902495541011</v>
      </c>
      <c r="E122">
        <v>417.61233698160743</v>
      </c>
      <c r="F122">
        <v>3.5085987625454891</v>
      </c>
      <c r="G122">
        <v>0.83664232161508334</v>
      </c>
      <c r="H122">
        <v>378.55318833459683</v>
      </c>
      <c r="I122">
        <v>4.3752710946826028</v>
      </c>
      <c r="J122">
        <v>1.162505724097382</v>
      </c>
      <c r="K122">
        <v>379.57887259973188</v>
      </c>
      <c r="L122">
        <v>0.50526175409760299</v>
      </c>
      <c r="M122">
        <v>0.13302260330507029</v>
      </c>
    </row>
    <row r="123" spans="1:13" x14ac:dyDescent="0.35">
      <c r="A123" s="5">
        <v>45628</v>
      </c>
      <c r="B123">
        <v>358.37877410873313</v>
      </c>
      <c r="C123">
        <v>0.90131111281226595</v>
      </c>
      <c r="D123">
        <v>0.25181344132942107</v>
      </c>
      <c r="E123">
        <v>423.79868813221788</v>
      </c>
      <c r="F123">
        <v>1.669066451862534</v>
      </c>
      <c r="G123">
        <v>0.39461179688674469</v>
      </c>
      <c r="H123">
        <v>379.32508680220462</v>
      </c>
      <c r="I123">
        <v>5.1471695622904576</v>
      </c>
      <c r="J123">
        <v>1.366197489506688</v>
      </c>
      <c r="K123">
        <v>380.1655423965463</v>
      </c>
      <c r="L123">
        <v>0.91952181755590345</v>
      </c>
      <c r="M123">
        <v>0.24216692565307249</v>
      </c>
    </row>
    <row r="124" spans="1:13" x14ac:dyDescent="0.35">
      <c r="A124" s="5">
        <v>45629</v>
      </c>
      <c r="B124">
        <v>358.20040958534338</v>
      </c>
      <c r="C124">
        <v>0.72294658942257684</v>
      </c>
      <c r="D124">
        <v>0.20203128170362319</v>
      </c>
      <c r="E124">
        <v>425.14140495515761</v>
      </c>
      <c r="F124">
        <v>3.0117832748022688</v>
      </c>
      <c r="G124">
        <v>0.7109373931413574</v>
      </c>
      <c r="H124">
        <v>380.31969531907839</v>
      </c>
      <c r="I124">
        <v>6.1417780791642826</v>
      </c>
      <c r="J124">
        <v>1.6280444038340971</v>
      </c>
      <c r="K124">
        <v>380.12291021259222</v>
      </c>
      <c r="L124">
        <v>0.87688963360176331</v>
      </c>
      <c r="M124">
        <v>0.23095220203114539</v>
      </c>
    </row>
    <row r="125" spans="1:13" x14ac:dyDescent="0.35">
      <c r="A125" s="5">
        <v>45630</v>
      </c>
      <c r="B125">
        <v>358.25495359289562</v>
      </c>
      <c r="C125">
        <v>0.77749059697475786</v>
      </c>
      <c r="D125">
        <v>0.21725733778561551</v>
      </c>
      <c r="E125">
        <v>423.67745025581291</v>
      </c>
      <c r="F125">
        <v>3.0581361783445118</v>
      </c>
      <c r="G125">
        <v>0.72442210074308111</v>
      </c>
      <c r="H125">
        <v>378.20388506556492</v>
      </c>
      <c r="I125">
        <v>4.0259678256507527</v>
      </c>
      <c r="J125">
        <v>1.07019277003091</v>
      </c>
      <c r="K125">
        <v>380.74256022746761</v>
      </c>
      <c r="L125">
        <v>2.3365097175688452</v>
      </c>
      <c r="M125">
        <v>0.61556055942705956</v>
      </c>
    </row>
    <row r="126" spans="1:13" x14ac:dyDescent="0.35">
      <c r="A126" s="5">
        <v>45631</v>
      </c>
      <c r="B126">
        <v>357.82515534979569</v>
      </c>
      <c r="C126">
        <v>2.848814764961674</v>
      </c>
      <c r="D126">
        <v>0.79932906460200015</v>
      </c>
      <c r="E126">
        <v>422.6341084617822</v>
      </c>
      <c r="F126">
        <v>2.0147943843138592</v>
      </c>
      <c r="G126">
        <v>0.47786213028268498</v>
      </c>
      <c r="H126">
        <v>377.75217422254718</v>
      </c>
      <c r="I126">
        <v>3.5742569826330741</v>
      </c>
      <c r="J126">
        <v>0.95068864066374625</v>
      </c>
      <c r="K126">
        <v>380.07498308308789</v>
      </c>
      <c r="L126">
        <v>1.668932573189124</v>
      </c>
      <c r="M126">
        <v>0.44007232858104628</v>
      </c>
    </row>
    <row r="127" spans="1:13" x14ac:dyDescent="0.35">
      <c r="A127" s="5">
        <v>45632</v>
      </c>
      <c r="B127">
        <v>357.37320600953251</v>
      </c>
      <c r="C127">
        <v>2.3968654246984329</v>
      </c>
      <c r="D127">
        <v>0.67294643090810513</v>
      </c>
      <c r="E127">
        <v>427.24058537844491</v>
      </c>
      <c r="F127">
        <v>6.6212713009765594</v>
      </c>
      <c r="G127">
        <v>1.5618786323602609</v>
      </c>
      <c r="H127">
        <v>378.52065464405558</v>
      </c>
      <c r="I127">
        <v>4.3427374041414737</v>
      </c>
      <c r="J127">
        <v>1.153911423870992</v>
      </c>
      <c r="K127">
        <v>381.83942501935019</v>
      </c>
      <c r="L127">
        <v>4.2752132619328336</v>
      </c>
      <c r="M127">
        <v>1.1259396333888141</v>
      </c>
    </row>
    <row r="128" spans="1:13" x14ac:dyDescent="0.35">
      <c r="A128" s="5">
        <v>45635</v>
      </c>
      <c r="B128">
        <v>356.31555298170508</v>
      </c>
      <c r="C128">
        <v>2.0570621519155452</v>
      </c>
      <c r="D128">
        <v>0.57898600992558968</v>
      </c>
      <c r="E128">
        <v>422.63571012340662</v>
      </c>
      <c r="F128">
        <v>2.016396045938222</v>
      </c>
      <c r="G128">
        <v>0.47824109861642211</v>
      </c>
      <c r="H128">
        <v>380.68692876933687</v>
      </c>
      <c r="I128">
        <v>6.5090115294227084</v>
      </c>
      <c r="J128">
        <v>1.7245501797663341</v>
      </c>
      <c r="K128">
        <v>380.44495996172361</v>
      </c>
      <c r="L128">
        <v>4.5700820102966873</v>
      </c>
      <c r="M128">
        <v>1.208505127382755</v>
      </c>
    </row>
    <row r="129" spans="1:13" x14ac:dyDescent="0.35">
      <c r="A129" s="5">
        <v>45636</v>
      </c>
      <c r="B129">
        <v>357.18218818926948</v>
      </c>
      <c r="C129">
        <v>2.2058476044355189</v>
      </c>
      <c r="D129">
        <v>0.61948218417958723</v>
      </c>
      <c r="E129">
        <v>423.919121269767</v>
      </c>
      <c r="F129">
        <v>4.8155573980193944</v>
      </c>
      <c r="G129">
        <v>1.142450252619482</v>
      </c>
      <c r="H129">
        <v>377.49189122721242</v>
      </c>
      <c r="I129">
        <v>0.77139943323004445</v>
      </c>
      <c r="J129">
        <v>0.2045576154928673</v>
      </c>
      <c r="K129">
        <v>379.83217970150321</v>
      </c>
      <c r="L129">
        <v>3.1116879075208321</v>
      </c>
      <c r="M129">
        <v>0.82259650246688609</v>
      </c>
    </row>
    <row r="130" spans="1:13" x14ac:dyDescent="0.35">
      <c r="A130" s="5">
        <v>45637</v>
      </c>
      <c r="B130">
        <v>356.84014868787432</v>
      </c>
      <c r="C130">
        <v>1.863808103040242</v>
      </c>
      <c r="D130">
        <v>0.52367657426552938</v>
      </c>
      <c r="E130">
        <v>420.64347312869199</v>
      </c>
      <c r="F130">
        <v>1.539909256944384</v>
      </c>
      <c r="G130">
        <v>0.36675550828852183</v>
      </c>
      <c r="H130">
        <v>375.47086150830052</v>
      </c>
      <c r="I130">
        <v>1.249630285681917</v>
      </c>
      <c r="J130">
        <v>0.33226393262718801</v>
      </c>
      <c r="K130">
        <v>379.57265521886922</v>
      </c>
      <c r="L130">
        <v>1.166604708970453</v>
      </c>
      <c r="M130">
        <v>0.30781991635208422</v>
      </c>
    </row>
    <row r="131" spans="1:13" x14ac:dyDescent="0.35">
      <c r="A131" s="5">
        <v>45638</v>
      </c>
      <c r="B131">
        <v>357.20416759639039</v>
      </c>
      <c r="C131">
        <v>4.0251871204848726</v>
      </c>
      <c r="D131">
        <v>1.1332439772558409</v>
      </c>
      <c r="E131">
        <v>427.42308210573702</v>
      </c>
      <c r="F131">
        <v>8.3195182339893563</v>
      </c>
      <c r="G131">
        <v>1.965565590527347</v>
      </c>
      <c r="H131">
        <v>378.94065770952562</v>
      </c>
      <c r="I131">
        <v>1.3764459521082699</v>
      </c>
      <c r="J131">
        <v>0.3638961248400569</v>
      </c>
      <c r="K131">
        <v>380.23234908946858</v>
      </c>
      <c r="L131">
        <v>0.98632851047824488</v>
      </c>
      <c r="M131">
        <v>0.25973840727256348</v>
      </c>
    </row>
    <row r="132" spans="1:13" x14ac:dyDescent="0.35">
      <c r="A132" s="5">
        <v>45639</v>
      </c>
      <c r="B132">
        <v>356.92762652562612</v>
      </c>
      <c r="C132">
        <v>3.748646049720548</v>
      </c>
      <c r="D132">
        <v>1.05579810489285</v>
      </c>
      <c r="E132">
        <v>429.02121484828859</v>
      </c>
      <c r="F132">
        <v>9.9176509765409833</v>
      </c>
      <c r="G132">
        <v>2.3387244955885822</v>
      </c>
      <c r="H132">
        <v>380.56085763868441</v>
      </c>
      <c r="I132">
        <v>2.9966458812670571</v>
      </c>
      <c r="J132">
        <v>0.79054129779775917</v>
      </c>
      <c r="K132">
        <v>380.38379616820009</v>
      </c>
      <c r="L132">
        <v>0.29966181437055178</v>
      </c>
      <c r="M132">
        <v>7.8809849131927512E-2</v>
      </c>
    </row>
    <row r="133" spans="1:13" x14ac:dyDescent="0.35">
      <c r="A133" s="5">
        <v>45642</v>
      </c>
      <c r="B133">
        <v>357.13681973417113</v>
      </c>
      <c r="C133">
        <v>4.3184100316726699</v>
      </c>
      <c r="D133">
        <v>1.216530240955956</v>
      </c>
      <c r="E133">
        <v>426.74085905879662</v>
      </c>
      <c r="F133">
        <v>7.6372951870489487</v>
      </c>
      <c r="G133">
        <v>1.805839225277027</v>
      </c>
      <c r="H133">
        <v>380.1984098239048</v>
      </c>
      <c r="I133">
        <v>2.6341980664874431</v>
      </c>
      <c r="J133">
        <v>0.69525679717226341</v>
      </c>
      <c r="K133">
        <v>380.22971559874748</v>
      </c>
      <c r="L133">
        <v>0.69068848851077291</v>
      </c>
      <c r="M133">
        <v>0.18148548378227911</v>
      </c>
    </row>
    <row r="134" spans="1:13" x14ac:dyDescent="0.35">
      <c r="A134" s="5">
        <v>45643</v>
      </c>
      <c r="B134">
        <v>357.49329380818011</v>
      </c>
      <c r="C134">
        <v>4.6748841056815991</v>
      </c>
      <c r="D134">
        <v>1.316290885417267</v>
      </c>
      <c r="E134">
        <v>426.15615050646238</v>
      </c>
      <c r="F134">
        <v>7.0525866347147712</v>
      </c>
      <c r="G134">
        <v>1.6687383805823011</v>
      </c>
      <c r="H134">
        <v>381.47338499446448</v>
      </c>
      <c r="I134">
        <v>5.598507043037614</v>
      </c>
      <c r="J134">
        <v>1.4784498273649811</v>
      </c>
      <c r="K134">
        <v>379.47344452507502</v>
      </c>
      <c r="L134">
        <v>1.4469595621832241</v>
      </c>
      <c r="M134">
        <v>0.38058160644613948</v>
      </c>
    </row>
    <row r="135" spans="1:13" x14ac:dyDescent="0.35">
      <c r="A135" s="5">
        <v>45644</v>
      </c>
      <c r="B135">
        <v>356.91890221616939</v>
      </c>
      <c r="C135">
        <v>4.822741806828958</v>
      </c>
      <c r="D135">
        <v>1.360406022678885</v>
      </c>
      <c r="E135">
        <v>428.25109720881687</v>
      </c>
      <c r="F135">
        <v>9.1475333370693193</v>
      </c>
      <c r="G135">
        <v>2.159080195630052</v>
      </c>
      <c r="H135">
        <v>383.75032223180062</v>
      </c>
      <c r="I135">
        <v>7.8754442803736424</v>
      </c>
      <c r="J135">
        <v>2.0735079032328079</v>
      </c>
      <c r="K135">
        <v>379.83497104993478</v>
      </c>
      <c r="L135">
        <v>0.75114565034641601</v>
      </c>
      <c r="M135">
        <v>0.19756044708564219</v>
      </c>
    </row>
    <row r="136" spans="1:13" x14ac:dyDescent="0.35">
      <c r="A136" s="5">
        <v>45645</v>
      </c>
      <c r="B136">
        <v>356.85878864949859</v>
      </c>
      <c r="C136">
        <v>5.124309034548105</v>
      </c>
      <c r="D136">
        <v>1.4463329709860271</v>
      </c>
      <c r="E136">
        <v>424.56349456497128</v>
      </c>
      <c r="F136">
        <v>5.4599306932236686</v>
      </c>
      <c r="G136">
        <v>1.2943330283253429</v>
      </c>
      <c r="H136">
        <v>383.77496875293252</v>
      </c>
      <c r="I136">
        <v>6.2107569955151121</v>
      </c>
      <c r="J136">
        <v>1.6315348413703961</v>
      </c>
      <c r="K136">
        <v>379.81896539955977</v>
      </c>
      <c r="L136">
        <v>0.26516895426976822</v>
      </c>
      <c r="M136">
        <v>6.9790202028606765E-2</v>
      </c>
    </row>
    <row r="137" spans="1:13" x14ac:dyDescent="0.35">
      <c r="A137" s="5">
        <v>45646</v>
      </c>
      <c r="B137">
        <v>356.83793709596648</v>
      </c>
      <c r="C137">
        <v>5.1034574810159938</v>
      </c>
      <c r="D137">
        <v>1.4404900220941259</v>
      </c>
      <c r="E137">
        <v>424.92915676463059</v>
      </c>
      <c r="F137">
        <v>5.8255928928830372</v>
      </c>
      <c r="G137">
        <v>1.380418732698109</v>
      </c>
      <c r="H137">
        <v>385.11785255020538</v>
      </c>
      <c r="I137">
        <v>7.5536407927880296</v>
      </c>
      <c r="J137">
        <v>1.980809867253233</v>
      </c>
      <c r="K137">
        <v>379.78320681131089</v>
      </c>
      <c r="L137">
        <v>0.30092754251859333</v>
      </c>
      <c r="M137">
        <v>7.9205283926840842E-2</v>
      </c>
    </row>
    <row r="138" spans="1:13" x14ac:dyDescent="0.35">
      <c r="A138" s="5">
        <v>45649</v>
      </c>
      <c r="B138">
        <v>356.81070350337012</v>
      </c>
      <c r="C138">
        <v>5.0762238884195767</v>
      </c>
      <c r="D138">
        <v>1.4328582027977419</v>
      </c>
      <c r="E138">
        <v>413.96376130549248</v>
      </c>
      <c r="F138">
        <v>5.1398025662550708</v>
      </c>
      <c r="G138">
        <v>1.2339465037022159</v>
      </c>
      <c r="H138">
        <v>381.0313575923401</v>
      </c>
      <c r="I138">
        <v>3.467145834922746</v>
      </c>
      <c r="J138">
        <v>0.9140959886951785</v>
      </c>
      <c r="K138">
        <v>378.58470965090049</v>
      </c>
      <c r="L138">
        <v>1.4994247029290479</v>
      </c>
      <c r="M138">
        <v>0.39527778549970272</v>
      </c>
    </row>
    <row r="139" spans="1:13" x14ac:dyDescent="0.35">
      <c r="A139" s="5">
        <v>45650</v>
      </c>
      <c r="B139">
        <v>356.59471746813119</v>
      </c>
      <c r="C139">
        <v>5.2222909389568599</v>
      </c>
      <c r="D139">
        <v>1.4752918926352681</v>
      </c>
      <c r="E139">
        <v>421.02335914214041</v>
      </c>
      <c r="F139">
        <v>1.919795270392797</v>
      </c>
      <c r="G139">
        <v>0.4570250560488367</v>
      </c>
      <c r="H139">
        <v>383.39759452858419</v>
      </c>
      <c r="I139">
        <v>5.8333827711668391</v>
      </c>
      <c r="J139">
        <v>1.533160461663013</v>
      </c>
      <c r="K139">
        <v>380.00155640907519</v>
      </c>
      <c r="L139">
        <v>8.2577944754291366E-2</v>
      </c>
      <c r="M139">
        <v>2.172858817310639E-2</v>
      </c>
    </row>
    <row r="140" spans="1:13" x14ac:dyDescent="0.35">
      <c r="A140" s="5">
        <v>45651</v>
      </c>
      <c r="B140">
        <v>356.62295369999919</v>
      </c>
      <c r="C140">
        <v>5.2505271708248529</v>
      </c>
      <c r="D140">
        <v>1.4832094438597281</v>
      </c>
      <c r="E140">
        <v>423.00191576998651</v>
      </c>
      <c r="F140">
        <v>3.8983518982388432</v>
      </c>
      <c r="G140">
        <v>0.92585833781710003</v>
      </c>
      <c r="H140">
        <v>382.09857320599679</v>
      </c>
      <c r="I140">
        <v>4.5343614485794888</v>
      </c>
      <c r="J140">
        <v>1.193782698937361</v>
      </c>
      <c r="K140">
        <v>379.6182797987795</v>
      </c>
      <c r="L140">
        <v>0.46585455505004347</v>
      </c>
      <c r="M140">
        <v>0.1226413254378476</v>
      </c>
    </row>
    <row r="141" spans="1:13" x14ac:dyDescent="0.35">
      <c r="A141" s="5">
        <v>45652</v>
      </c>
      <c r="B141">
        <v>356.75955915244111</v>
      </c>
      <c r="C141">
        <v>5.3871326232667798</v>
      </c>
      <c r="D141">
        <v>1.5215052369316051</v>
      </c>
      <c r="E141">
        <v>420.76171332708839</v>
      </c>
      <c r="F141">
        <v>1.6581494553408329</v>
      </c>
      <c r="G141">
        <v>0.39486081883779761</v>
      </c>
      <c r="H141">
        <v>380.77334827758068</v>
      </c>
      <c r="I141">
        <v>3.209136520163383</v>
      </c>
      <c r="J141">
        <v>0.84636095830866509</v>
      </c>
      <c r="K141">
        <v>379.34904478963358</v>
      </c>
      <c r="L141">
        <v>0.73508956419595961</v>
      </c>
      <c r="M141">
        <v>0.19358900411094471</v>
      </c>
    </row>
    <row r="142" spans="1:13" x14ac:dyDescent="0.35">
      <c r="A142" s="5">
        <v>45653</v>
      </c>
      <c r="B142">
        <v>356.83892542445409</v>
      </c>
      <c r="C142">
        <v>5.4664988952798126</v>
      </c>
      <c r="D142">
        <v>1.543747888310532</v>
      </c>
      <c r="E142">
        <v>421.73772627101602</v>
      </c>
      <c r="F142">
        <v>2.6341623992684049</v>
      </c>
      <c r="G142">
        <v>0.62655400731359323</v>
      </c>
      <c r="H142">
        <v>382.49030644153748</v>
      </c>
      <c r="I142">
        <v>4.9260946841201303</v>
      </c>
      <c r="J142">
        <v>1.2962477207011751</v>
      </c>
      <c r="K142">
        <v>380.33832642002147</v>
      </c>
      <c r="L142">
        <v>0.25419206619199031</v>
      </c>
      <c r="M142">
        <v>6.6855486076334208E-2</v>
      </c>
    </row>
    <row r="143" spans="1:13" x14ac:dyDescent="0.35">
      <c r="A143" s="5">
        <v>45656</v>
      </c>
      <c r="B143">
        <v>356.68286046918371</v>
      </c>
      <c r="C143">
        <v>5.310433940009375</v>
      </c>
      <c r="D143">
        <v>1.500005448027022</v>
      </c>
      <c r="E143">
        <v>426.19540360634232</v>
      </c>
      <c r="F143">
        <v>7.0918397345947142</v>
      </c>
      <c r="G143">
        <v>1.677948278051937</v>
      </c>
      <c r="H143">
        <v>384.68159434376611</v>
      </c>
      <c r="I143">
        <v>7.1173825863487536</v>
      </c>
      <c r="J143">
        <v>1.8674770079099541</v>
      </c>
      <c r="K143">
        <v>379.82205284268912</v>
      </c>
      <c r="L143">
        <v>0.57603226369872118</v>
      </c>
      <c r="M143">
        <v>0.1517735454482016</v>
      </c>
    </row>
    <row r="144" spans="1:13" x14ac:dyDescent="0.35">
      <c r="A144" s="5">
        <v>45657</v>
      </c>
      <c r="B144">
        <v>357.04439261500721</v>
      </c>
      <c r="C144">
        <v>6.0343926150073344</v>
      </c>
      <c r="D144">
        <v>1.7044997327736171</v>
      </c>
      <c r="E144">
        <v>423.89305562950022</v>
      </c>
      <c r="F144">
        <v>4.7894917577525584</v>
      </c>
      <c r="G144">
        <v>1.136301533590067</v>
      </c>
      <c r="H144">
        <v>383.75416636208843</v>
      </c>
      <c r="I144">
        <v>6.1899546046710157</v>
      </c>
      <c r="J144">
        <v>1.6261145882122281</v>
      </c>
      <c r="K144">
        <v>380.29706830201212</v>
      </c>
      <c r="L144">
        <v>1.051047723021725</v>
      </c>
      <c r="M144">
        <v>0.27675789258254729</v>
      </c>
    </row>
    <row r="145" spans="1:13" x14ac:dyDescent="0.35">
      <c r="A145" s="5">
        <v>45658</v>
      </c>
      <c r="B145">
        <v>356.97451327254959</v>
      </c>
      <c r="C145">
        <v>6.1459138378185116</v>
      </c>
      <c r="D145">
        <v>1.7366167872054019</v>
      </c>
      <c r="E145">
        <v>425.28488902681278</v>
      </c>
      <c r="F145">
        <v>6.1813251550651671</v>
      </c>
      <c r="G145">
        <v>1.4640951410091689</v>
      </c>
      <c r="H145">
        <v>384.1287443312512</v>
      </c>
      <c r="I145">
        <v>6.5645325738338443</v>
      </c>
      <c r="J145">
        <v>1.723668972217635</v>
      </c>
      <c r="K145">
        <v>378.84493861351882</v>
      </c>
      <c r="L145">
        <v>0.40108196547157599</v>
      </c>
      <c r="M145">
        <v>0.1058136785851643</v>
      </c>
    </row>
    <row r="146" spans="1:13" x14ac:dyDescent="0.35">
      <c r="A146" s="5">
        <v>45659</v>
      </c>
      <c r="B146">
        <v>356.45296108305661</v>
      </c>
      <c r="C146">
        <v>5.8057622135946758</v>
      </c>
      <c r="D146">
        <v>1.6421329091438821</v>
      </c>
      <c r="E146">
        <v>413.68373627601022</v>
      </c>
      <c r="F146">
        <v>5.419827595737388</v>
      </c>
      <c r="G146">
        <v>1.301611490659323</v>
      </c>
      <c r="H146">
        <v>381.059719703795</v>
      </c>
      <c r="I146">
        <v>3.4955079463776428</v>
      </c>
      <c r="J146">
        <v>0.92153906604154101</v>
      </c>
      <c r="K146">
        <v>378.31233197035118</v>
      </c>
      <c r="L146">
        <v>0.9336886086391587</v>
      </c>
      <c r="M146">
        <v>0.24649945591573269</v>
      </c>
    </row>
    <row r="147" spans="1:13" x14ac:dyDescent="0.35">
      <c r="A147" s="5">
        <v>45660</v>
      </c>
      <c r="B147">
        <v>356.95543072759091</v>
      </c>
      <c r="C147">
        <v>7.034962585185724</v>
      </c>
      <c r="D147">
        <v>1.9904378113419141</v>
      </c>
      <c r="E147">
        <v>422.13625712376512</v>
      </c>
      <c r="F147">
        <v>3.0326932520174519</v>
      </c>
      <c r="G147">
        <v>0.72100563390558414</v>
      </c>
      <c r="H147">
        <v>384.18225985327001</v>
      </c>
      <c r="I147">
        <v>6.6180480958526573</v>
      </c>
      <c r="J147">
        <v>1.73759862171964</v>
      </c>
      <c r="K147">
        <v>378.40813042307792</v>
      </c>
      <c r="L147">
        <v>2.0799131791591212E-3</v>
      </c>
      <c r="M147">
        <v>5.496496317220342E-4</v>
      </c>
    </row>
    <row r="148" spans="1:13" x14ac:dyDescent="0.35">
      <c r="A148" s="5">
        <v>45663</v>
      </c>
      <c r="B148">
        <v>356.4830001232819</v>
      </c>
      <c r="C148">
        <v>6.9264639234847891</v>
      </c>
      <c r="D148">
        <v>1.9620612068147061</v>
      </c>
      <c r="E148">
        <v>423.14657582433182</v>
      </c>
      <c r="F148">
        <v>4.0430119525841519</v>
      </c>
      <c r="G148">
        <v>0.9600501708537662</v>
      </c>
      <c r="H148">
        <v>383.63125597299432</v>
      </c>
      <c r="I148">
        <v>6.0670442155769138</v>
      </c>
      <c r="J148">
        <v>1.594083116040212</v>
      </c>
      <c r="K148">
        <v>378.29721678490222</v>
      </c>
      <c r="L148">
        <v>0.1088337249965434</v>
      </c>
      <c r="M148">
        <v>2.8765231947688472E-2</v>
      </c>
    </row>
    <row r="149" spans="1:13" x14ac:dyDescent="0.35">
      <c r="A149" s="5">
        <v>45664</v>
      </c>
      <c r="B149">
        <v>356.01954580972779</v>
      </c>
      <c r="C149">
        <v>7.9225422317020389</v>
      </c>
      <c r="D149">
        <v>2.2503496725338641</v>
      </c>
      <c r="E149">
        <v>421.06539044419691</v>
      </c>
      <c r="F149">
        <v>1.9618265724492401</v>
      </c>
      <c r="G149">
        <v>0.46700763277941731</v>
      </c>
      <c r="H149">
        <v>382.12609477026228</v>
      </c>
      <c r="I149">
        <v>4.5618830128449304</v>
      </c>
      <c r="J149">
        <v>1.20098492073591</v>
      </c>
      <c r="K149">
        <v>378.49679953478602</v>
      </c>
      <c r="L149">
        <v>0.9325877773686102</v>
      </c>
      <c r="M149">
        <v>0.24669643413425041</v>
      </c>
    </row>
    <row r="150" spans="1:13" x14ac:dyDescent="0.35">
      <c r="A150" s="5">
        <v>45665</v>
      </c>
      <c r="B150">
        <v>355.64436723421761</v>
      </c>
      <c r="C150">
        <v>7.9132040132603834</v>
      </c>
      <c r="D150">
        <v>2.2500651986399101</v>
      </c>
      <c r="E150">
        <v>420.07088237804521</v>
      </c>
      <c r="F150">
        <v>2.0587393023101872</v>
      </c>
      <c r="G150">
        <v>0.48889529094070111</v>
      </c>
      <c r="H150">
        <v>383.87226055857923</v>
      </c>
      <c r="I150">
        <v>6.3080488011618741</v>
      </c>
      <c r="J150">
        <v>1.6568811793254949</v>
      </c>
      <c r="K150">
        <v>379.12960739872977</v>
      </c>
      <c r="L150">
        <v>1.565395641312421</v>
      </c>
      <c r="M150">
        <v>0.41374611545211842</v>
      </c>
    </row>
    <row r="151" spans="1:13" x14ac:dyDescent="0.35">
      <c r="A151" s="5">
        <v>45666</v>
      </c>
      <c r="B151">
        <v>355.25861851491652</v>
      </c>
      <c r="C151">
        <v>7.893680949249017</v>
      </c>
      <c r="D151">
        <v>2.246916113453981</v>
      </c>
      <c r="E151">
        <v>425.1574096433352</v>
      </c>
      <c r="F151">
        <v>3.0277879629798581</v>
      </c>
      <c r="G151">
        <v>0.7147018309131048</v>
      </c>
      <c r="H151">
        <v>383.07415939203543</v>
      </c>
      <c r="I151">
        <v>5.5099476346180154</v>
      </c>
      <c r="J151">
        <v>1.4487693084143389</v>
      </c>
      <c r="K151">
        <v>378.20642626169342</v>
      </c>
      <c r="L151">
        <v>2.331548310266442</v>
      </c>
      <c r="M151">
        <v>0.61838114729535587</v>
      </c>
    </row>
    <row r="152" spans="1:13" x14ac:dyDescent="0.35">
      <c r="A152" s="5">
        <v>45667</v>
      </c>
      <c r="B152">
        <v>355.18033612661782</v>
      </c>
      <c r="C152">
        <v>7.8153985609503707</v>
      </c>
      <c r="D152">
        <v>2.2248811154549171</v>
      </c>
      <c r="E152">
        <v>422.88782139794591</v>
      </c>
      <c r="F152">
        <v>0.75819971759057125</v>
      </c>
      <c r="G152">
        <v>0.17945185008928011</v>
      </c>
      <c r="H152">
        <v>382.77039238811852</v>
      </c>
      <c r="I152">
        <v>1.849988300860218</v>
      </c>
      <c r="J152">
        <v>0.48448621075397857</v>
      </c>
      <c r="K152">
        <v>379.50117864150678</v>
      </c>
      <c r="L152">
        <v>3.6263006900798591</v>
      </c>
      <c r="M152">
        <v>0.96013122429005948</v>
      </c>
    </row>
    <row r="153" spans="1:13" x14ac:dyDescent="0.35">
      <c r="A153" s="5">
        <v>45670</v>
      </c>
      <c r="B153">
        <v>355.44645971229232</v>
      </c>
      <c r="C153">
        <v>7.3494561342665747</v>
      </c>
      <c r="D153">
        <v>2.089268543522464</v>
      </c>
      <c r="E153">
        <v>424.45264687828188</v>
      </c>
      <c r="F153">
        <v>2.3230251979265968</v>
      </c>
      <c r="G153">
        <v>0.54880081575100781</v>
      </c>
      <c r="H153">
        <v>384.91249473280391</v>
      </c>
      <c r="I153">
        <v>3.992090645545602</v>
      </c>
      <c r="J153">
        <v>1.0425487470429411</v>
      </c>
      <c r="K153">
        <v>378.14292906032949</v>
      </c>
      <c r="L153">
        <v>2.268051108902625</v>
      </c>
      <c r="M153">
        <v>0.60159086106762438</v>
      </c>
    </row>
    <row r="154" spans="1:13" x14ac:dyDescent="0.35">
      <c r="A154" s="5">
        <v>45671</v>
      </c>
      <c r="B154">
        <v>355.55760363046107</v>
      </c>
      <c r="C154">
        <v>7.0951437800490567</v>
      </c>
      <c r="D154">
        <v>2.0156084032516519</v>
      </c>
      <c r="E154">
        <v>411.87309941451952</v>
      </c>
      <c r="F154">
        <v>7.2304644572280949</v>
      </c>
      <c r="G154">
        <v>1.7402328553087729</v>
      </c>
      <c r="H154">
        <v>384.56585243657912</v>
      </c>
      <c r="I154">
        <v>3.6454483493208731</v>
      </c>
      <c r="J154">
        <v>0.95245298481915941</v>
      </c>
      <c r="K154">
        <v>378.141841398488</v>
      </c>
      <c r="L154">
        <v>2.2669634470610731</v>
      </c>
      <c r="M154">
        <v>0.6013032307865962</v>
      </c>
    </row>
    <row r="155" spans="1:13" x14ac:dyDescent="0.35">
      <c r="A155" s="5">
        <v>45672</v>
      </c>
      <c r="B155">
        <v>355.49170086287921</v>
      </c>
      <c r="C155">
        <v>7.029241012467196</v>
      </c>
      <c r="D155">
        <v>1.9970735041454151</v>
      </c>
      <c r="E155">
        <v>420.6967145609795</v>
      </c>
      <c r="F155">
        <v>1.593150689231891</v>
      </c>
      <c r="G155">
        <v>0.37941180305514982</v>
      </c>
      <c r="H155">
        <v>388.19311225882387</v>
      </c>
      <c r="I155">
        <v>7.2727081715656823</v>
      </c>
      <c r="J155">
        <v>1.891192396700289</v>
      </c>
      <c r="K155">
        <v>378.81953817243709</v>
      </c>
      <c r="L155">
        <v>3.7921807536750411</v>
      </c>
      <c r="M155">
        <v>1.006087781445606</v>
      </c>
    </row>
    <row r="156" spans="1:13" x14ac:dyDescent="0.35">
      <c r="A156" s="5">
        <v>45673</v>
      </c>
      <c r="B156">
        <v>355.18919088720952</v>
      </c>
      <c r="C156">
        <v>6.7267310367975028</v>
      </c>
      <c r="D156">
        <v>1.9119491952434191</v>
      </c>
      <c r="E156">
        <v>421.77417231338831</v>
      </c>
      <c r="F156">
        <v>2.6706084416406952</v>
      </c>
      <c r="G156">
        <v>0.63519542181164479</v>
      </c>
      <c r="H156">
        <v>387.55140409700908</v>
      </c>
      <c r="I156">
        <v>6.631000009750835</v>
      </c>
      <c r="J156">
        <v>1.7257627252243499</v>
      </c>
      <c r="K156">
        <v>378.46225788152537</v>
      </c>
      <c r="L156">
        <v>3.4349004627633239</v>
      </c>
      <c r="M156">
        <v>0.91173133458366529</v>
      </c>
    </row>
    <row r="157" spans="1:13" x14ac:dyDescent="0.35">
      <c r="A157" s="5">
        <v>45674</v>
      </c>
      <c r="B157">
        <v>355.59935157670498</v>
      </c>
      <c r="C157">
        <v>6.7718183314062799</v>
      </c>
      <c r="D157">
        <v>1.9226461900633991</v>
      </c>
      <c r="E157">
        <v>419.91862254635942</v>
      </c>
      <c r="F157">
        <v>0.8150586746117483</v>
      </c>
      <c r="G157">
        <v>0.19428775253043951</v>
      </c>
      <c r="H157">
        <v>386.48525414327912</v>
      </c>
      <c r="I157">
        <v>3.8977943710067962</v>
      </c>
      <c r="J157">
        <v>1.013634809941987</v>
      </c>
      <c r="K157">
        <v>378.2611285817112</v>
      </c>
      <c r="L157">
        <v>4.083211341797039</v>
      </c>
      <c r="M157">
        <v>1.0853268087219941</v>
      </c>
    </row>
    <row r="158" spans="1:13" x14ac:dyDescent="0.35">
      <c r="A158" s="5">
        <v>45677</v>
      </c>
      <c r="B158">
        <v>356.0604068785359</v>
      </c>
      <c r="C158">
        <v>6.8681819149779813</v>
      </c>
      <c r="D158">
        <v>1.9477224486319269</v>
      </c>
      <c r="E158">
        <v>417.65946929193058</v>
      </c>
      <c r="F158">
        <v>1.444094579816976</v>
      </c>
      <c r="G158">
        <v>0.34516213613239222</v>
      </c>
      <c r="H158">
        <v>387.20193938506162</v>
      </c>
      <c r="I158">
        <v>2.954656375799289</v>
      </c>
      <c r="J158">
        <v>0.76600151767060076</v>
      </c>
      <c r="K158">
        <v>378.9874142645341</v>
      </c>
      <c r="L158">
        <v>4.8094970246199296</v>
      </c>
      <c r="M158">
        <v>1.2771424343212801</v>
      </c>
    </row>
    <row r="159" spans="1:13" x14ac:dyDescent="0.35">
      <c r="A159" s="5">
        <v>45678</v>
      </c>
      <c r="B159">
        <v>354.67956398808542</v>
      </c>
      <c r="C159">
        <v>3.669563988085542</v>
      </c>
      <c r="D159">
        <v>1.039993837331989</v>
      </c>
      <c r="E159">
        <v>421.49503055455568</v>
      </c>
      <c r="F159">
        <v>2.391466682808129</v>
      </c>
      <c r="G159">
        <v>0.56899135893518082</v>
      </c>
      <c r="H159">
        <v>387.09446286672829</v>
      </c>
      <c r="I159">
        <v>2.847179857466017</v>
      </c>
      <c r="J159">
        <v>0.73824083104242033</v>
      </c>
      <c r="K159">
        <v>378.65674198636299</v>
      </c>
      <c r="L159">
        <v>4.4788247464488791</v>
      </c>
      <c r="M159">
        <v>1.189856150101263</v>
      </c>
    </row>
    <row r="160" spans="1:13" x14ac:dyDescent="0.35">
      <c r="A160" s="5">
        <v>45679</v>
      </c>
      <c r="B160">
        <v>355.1284820295586</v>
      </c>
      <c r="C160">
        <v>4.1184820295587201</v>
      </c>
      <c r="D160">
        <v>1.166479984980147</v>
      </c>
      <c r="E160">
        <v>418.04116091977608</v>
      </c>
      <c r="F160">
        <v>4.0884607605792667</v>
      </c>
      <c r="G160">
        <v>0.97324516520949123</v>
      </c>
      <c r="H160">
        <v>385.9710405015727</v>
      </c>
      <c r="I160">
        <v>1.723757492310426</v>
      </c>
      <c r="J160">
        <v>0.44760230695450992</v>
      </c>
      <c r="K160">
        <v>377.96878222081489</v>
      </c>
      <c r="L160">
        <v>2.9414248020528362</v>
      </c>
      <c r="M160">
        <v>0.78125893273788916</v>
      </c>
    </row>
    <row r="161" spans="1:13" x14ac:dyDescent="0.35">
      <c r="A161" s="5">
        <v>45680</v>
      </c>
      <c r="B161">
        <v>354.1529961783329</v>
      </c>
      <c r="C161">
        <v>3.1429961783330209</v>
      </c>
      <c r="D161">
        <v>0.89142402405306187</v>
      </c>
      <c r="E161">
        <v>418.87602317117341</v>
      </c>
      <c r="F161">
        <v>3.2535985091819839</v>
      </c>
      <c r="G161">
        <v>0.77373999309038421</v>
      </c>
      <c r="H161">
        <v>387.08914152990383</v>
      </c>
      <c r="I161">
        <v>1.1891744075938391</v>
      </c>
      <c r="J161">
        <v>0.30768206027308348</v>
      </c>
      <c r="K161">
        <v>377.97701614986249</v>
      </c>
      <c r="L161">
        <v>2.9496587311004419</v>
      </c>
      <c r="M161">
        <v>0.78343734369601825</v>
      </c>
    </row>
    <row r="162" spans="1:13" x14ac:dyDescent="0.35">
      <c r="A162" s="5">
        <v>45681</v>
      </c>
      <c r="B162">
        <v>354.57433869870118</v>
      </c>
      <c r="C162">
        <v>3.5643386987013059</v>
      </c>
      <c r="D162">
        <v>1.010322509503246</v>
      </c>
      <c r="E162">
        <v>409.72062981597452</v>
      </c>
      <c r="F162">
        <v>12.40899186438088</v>
      </c>
      <c r="G162">
        <v>2.9834677195948691</v>
      </c>
      <c r="H162">
        <v>388.34212483410829</v>
      </c>
      <c r="I162">
        <v>2.4421577117983588</v>
      </c>
      <c r="J162">
        <v>0.63085118651384908</v>
      </c>
      <c r="K162">
        <v>377.38020363731948</v>
      </c>
      <c r="L162">
        <v>2.3528462185574308</v>
      </c>
      <c r="M162">
        <v>0.6254180155380058</v>
      </c>
    </row>
    <row r="163" spans="1:13" x14ac:dyDescent="0.35">
      <c r="A163" s="5">
        <v>45684</v>
      </c>
      <c r="B163">
        <v>354.48910571284449</v>
      </c>
      <c r="C163">
        <v>3.4791057128446141</v>
      </c>
      <c r="D163">
        <v>0.98628210430664709</v>
      </c>
      <c r="E163">
        <v>417.83168092491047</v>
      </c>
      <c r="F163">
        <v>4.2979407554448699</v>
      </c>
      <c r="G163">
        <v>1.023366372263617</v>
      </c>
      <c r="H163">
        <v>391.41977980666547</v>
      </c>
      <c r="I163">
        <v>5.5198126843555997</v>
      </c>
      <c r="J163">
        <v>1.420216765665145</v>
      </c>
      <c r="K163">
        <v>377.44050145481208</v>
      </c>
      <c r="L163">
        <v>2.4131440360500278</v>
      </c>
      <c r="M163">
        <v>0.64139458120176496</v>
      </c>
    </row>
    <row r="164" spans="1:13" x14ac:dyDescent="0.35">
      <c r="A164" s="5">
        <v>45685</v>
      </c>
      <c r="B164">
        <v>354.91578822793298</v>
      </c>
      <c r="C164">
        <v>3.9057882279331011</v>
      </c>
      <c r="D164">
        <v>1.1065719068679141</v>
      </c>
      <c r="E164">
        <v>419.42851042709708</v>
      </c>
      <c r="F164">
        <v>2.701111253258262</v>
      </c>
      <c r="G164">
        <v>0.64193099685082078</v>
      </c>
      <c r="H164">
        <v>392.56341716665372</v>
      </c>
      <c r="I164">
        <v>6.6634500443437901</v>
      </c>
      <c r="J164">
        <v>1.71194950946346</v>
      </c>
      <c r="K164">
        <v>377.53807757342793</v>
      </c>
      <c r="L164">
        <v>3.3601603335137611</v>
      </c>
      <c r="M164">
        <v>0.89399729597295974</v>
      </c>
    </row>
    <row r="165" spans="1:13" x14ac:dyDescent="0.35">
      <c r="A165" s="5">
        <v>45686</v>
      </c>
      <c r="B165">
        <v>354.85817808800698</v>
      </c>
      <c r="C165">
        <v>3.8481780880071601</v>
      </c>
      <c r="D165">
        <v>1.090339020079006</v>
      </c>
      <c r="E165">
        <v>416.97368531062801</v>
      </c>
      <c r="F165">
        <v>5.1559363697273852</v>
      </c>
      <c r="G165">
        <v>1.2289157548947149</v>
      </c>
      <c r="H165">
        <v>391.2079831122806</v>
      </c>
      <c r="I165">
        <v>3.6623796666988819</v>
      </c>
      <c r="J165">
        <v>0.94057471578058893</v>
      </c>
      <c r="K165">
        <v>378.68123047125982</v>
      </c>
      <c r="L165">
        <v>2.8063525198328989</v>
      </c>
      <c r="M165">
        <v>0.74384197238804517</v>
      </c>
    </row>
    <row r="166" spans="1:13" x14ac:dyDescent="0.35">
      <c r="A166" s="5">
        <v>45687</v>
      </c>
      <c r="B166">
        <v>354.40277142019067</v>
      </c>
      <c r="C166">
        <v>3.392771420190797</v>
      </c>
      <c r="D166">
        <v>0.9619251472751783</v>
      </c>
      <c r="E166">
        <v>416.12427631090242</v>
      </c>
      <c r="F166">
        <v>11.99329866120758</v>
      </c>
      <c r="G166">
        <v>2.841199744594773</v>
      </c>
      <c r="H166">
        <v>393.26119423065882</v>
      </c>
      <c r="I166">
        <v>5.7155907850770973</v>
      </c>
      <c r="J166">
        <v>1.4640217790334979</v>
      </c>
      <c r="K166">
        <v>378.73674701159467</v>
      </c>
      <c r="L166">
        <v>1.1725352541773759</v>
      </c>
      <c r="M166">
        <v>0.31007107437384263</v>
      </c>
    </row>
    <row r="167" spans="1:13" x14ac:dyDescent="0.35">
      <c r="A167" s="5">
        <v>45688</v>
      </c>
      <c r="B167">
        <v>354.73943190557719</v>
      </c>
      <c r="C167">
        <v>3.729431905577314</v>
      </c>
      <c r="D167">
        <v>1.0568713872025539</v>
      </c>
      <c r="E167">
        <v>419.41693562588131</v>
      </c>
      <c r="F167">
        <v>8.7006393462286837</v>
      </c>
      <c r="G167">
        <v>2.0531646174714</v>
      </c>
      <c r="H167">
        <v>393.0538586580476</v>
      </c>
      <c r="I167">
        <v>5.5082552124658832</v>
      </c>
      <c r="J167">
        <v>1.4112884981041971</v>
      </c>
      <c r="K167">
        <v>378.61888466896579</v>
      </c>
      <c r="L167">
        <v>1.054672911548437</v>
      </c>
      <c r="M167">
        <v>0.27894643943581232</v>
      </c>
    </row>
    <row r="168" spans="1:13" x14ac:dyDescent="0.35">
      <c r="A168" s="5">
        <v>45691</v>
      </c>
      <c r="B168">
        <v>354.05584747692541</v>
      </c>
      <c r="C168">
        <v>3.045847476925474</v>
      </c>
      <c r="D168">
        <v>0.86398950901536919</v>
      </c>
      <c r="E168">
        <v>415.64671361649857</v>
      </c>
      <c r="F168">
        <v>12.47086135561136</v>
      </c>
      <c r="G168">
        <v>2.956005966185594</v>
      </c>
      <c r="H168">
        <v>391.69480724626351</v>
      </c>
      <c r="I168">
        <v>4.1492038006817893</v>
      </c>
      <c r="J168">
        <v>1.064935479154099</v>
      </c>
      <c r="K168">
        <v>379.25449060376172</v>
      </c>
      <c r="L168">
        <v>1.6902788463443701</v>
      </c>
      <c r="M168">
        <v>0.44667998850211038</v>
      </c>
    </row>
    <row r="169" spans="1:13" x14ac:dyDescent="0.35">
      <c r="A169" s="5">
        <v>45692</v>
      </c>
      <c r="B169">
        <v>354.38243105629539</v>
      </c>
      <c r="C169">
        <v>3.3724310562955111</v>
      </c>
      <c r="D169">
        <v>0.95618577909758229</v>
      </c>
      <c r="E169">
        <v>416.23731223457918</v>
      </c>
      <c r="F169">
        <v>11.88026273753076</v>
      </c>
      <c r="G169">
        <v>2.8140448803069651</v>
      </c>
      <c r="H169">
        <v>393.2773244401389</v>
      </c>
      <c r="I169">
        <v>5.731720994557179</v>
      </c>
      <c r="J169">
        <v>1.4681231275001829</v>
      </c>
      <c r="K169">
        <v>377.60728970184152</v>
      </c>
      <c r="L169">
        <v>4.3077944424112502E-2</v>
      </c>
      <c r="M169">
        <v>1.1408784452503991E-2</v>
      </c>
    </row>
    <row r="170" spans="1:13" x14ac:dyDescent="0.35">
      <c r="A170" s="5">
        <v>45693</v>
      </c>
      <c r="B170">
        <v>354.67001538567558</v>
      </c>
      <c r="C170">
        <v>4.022816516213652</v>
      </c>
      <c r="D170">
        <v>1.14071128136636</v>
      </c>
      <c r="E170">
        <v>407.16733333992659</v>
      </c>
      <c r="F170">
        <v>26.855590593821319</v>
      </c>
      <c r="G170">
        <v>6.3851406650526714</v>
      </c>
      <c r="H170">
        <v>390.34597028249459</v>
      </c>
      <c r="I170">
        <v>2.8003668369128718</v>
      </c>
      <c r="J170">
        <v>0.71998898856610538</v>
      </c>
      <c r="K170">
        <v>377.00229406261087</v>
      </c>
      <c r="L170">
        <v>0.56191769480642506</v>
      </c>
      <c r="M170">
        <v>0.14893788432757371</v>
      </c>
    </row>
    <row r="171" spans="1:13" x14ac:dyDescent="0.35">
      <c r="A171" s="5">
        <v>45694</v>
      </c>
      <c r="B171">
        <v>353.91486074311518</v>
      </c>
      <c r="C171">
        <v>2.9048607431153068</v>
      </c>
      <c r="D171">
        <v>0.82416180926093829</v>
      </c>
      <c r="E171">
        <v>414.36253652663078</v>
      </c>
      <c r="F171">
        <v>22.583133723115338</v>
      </c>
      <c r="G171">
        <v>5.3055129842175912</v>
      </c>
      <c r="H171">
        <v>391.87741227039498</v>
      </c>
      <c r="I171">
        <v>3.511605571993698</v>
      </c>
      <c r="J171">
        <v>0.90013100700440196</v>
      </c>
      <c r="K171">
        <v>377.57169270388363</v>
      </c>
      <c r="L171">
        <v>7.4809464662735081E-3</v>
      </c>
      <c r="M171">
        <v>1.9813510182939212E-3</v>
      </c>
    </row>
    <row r="172" spans="1:13" x14ac:dyDescent="0.35">
      <c r="A172" s="5">
        <v>45695</v>
      </c>
      <c r="B172">
        <v>353.75084374282659</v>
      </c>
      <c r="C172">
        <v>2.0163641278760451</v>
      </c>
      <c r="D172">
        <v>0.57162468477135731</v>
      </c>
      <c r="E172">
        <v>416.18390794961209</v>
      </c>
      <c r="F172">
        <v>20.76176230013402</v>
      </c>
      <c r="G172">
        <v>4.8672002074888594</v>
      </c>
      <c r="H172">
        <v>390.49659272077469</v>
      </c>
      <c r="I172">
        <v>2.1307860223734001</v>
      </c>
      <c r="J172">
        <v>0.5471533929388287</v>
      </c>
      <c r="K172">
        <v>376.68402899204028</v>
      </c>
      <c r="L172">
        <v>0.88018276537707152</v>
      </c>
      <c r="M172">
        <v>0.23339338902599971</v>
      </c>
    </row>
    <row r="173" spans="1:13" x14ac:dyDescent="0.35">
      <c r="A173" s="5">
        <v>45698</v>
      </c>
      <c r="B173">
        <v>354.05931716782982</v>
      </c>
      <c r="C173">
        <v>3.049317167829884</v>
      </c>
      <c r="D173">
        <v>0.86496946997455038</v>
      </c>
      <c r="E173">
        <v>414.26310752034823</v>
      </c>
      <c r="F173">
        <v>29.9052945244166</v>
      </c>
      <c r="G173">
        <v>6.9674270320218747</v>
      </c>
      <c r="H173">
        <v>388.28619089453008</v>
      </c>
      <c r="I173">
        <v>7.9615803871206481E-2</v>
      </c>
      <c r="J173">
        <v>2.0502310975303931E-2</v>
      </c>
      <c r="K173">
        <v>377.41085792327289</v>
      </c>
      <c r="L173">
        <v>0.99519258662587617</v>
      </c>
      <c r="M173">
        <v>0.26334223950849028</v>
      </c>
    </row>
    <row r="174" spans="1:13" x14ac:dyDescent="0.35">
      <c r="A174" s="5">
        <v>45699</v>
      </c>
      <c r="B174">
        <v>353.96651588328228</v>
      </c>
      <c r="C174">
        <v>2.9565158832824641</v>
      </c>
      <c r="D174">
        <v>0.83875584978264661</v>
      </c>
      <c r="E174">
        <v>413.21869469562608</v>
      </c>
      <c r="F174">
        <v>30.949707349138691</v>
      </c>
      <c r="G174">
        <v>7.2195412006555877</v>
      </c>
      <c r="H174">
        <v>389.84271222641007</v>
      </c>
      <c r="I174">
        <v>0.65843084418361286</v>
      </c>
      <c r="J174">
        <v>0.16903928864739459</v>
      </c>
      <c r="K174">
        <v>377.11979090253351</v>
      </c>
      <c r="L174">
        <v>1.286259607365253</v>
      </c>
      <c r="M174">
        <v>0.34049387508986539</v>
      </c>
    </row>
    <row r="175" spans="1:13" x14ac:dyDescent="0.35">
      <c r="A175" s="5">
        <v>45700</v>
      </c>
      <c r="B175">
        <v>353.72680410127248</v>
      </c>
      <c r="C175">
        <v>2.716804101272658</v>
      </c>
      <c r="D175">
        <v>0.77101240788390624</v>
      </c>
      <c r="E175">
        <v>418.13115757130691</v>
      </c>
      <c r="F175">
        <v>28.893662349242899</v>
      </c>
      <c r="G175">
        <v>6.6794111353209322</v>
      </c>
      <c r="H175">
        <v>387.197226584318</v>
      </c>
      <c r="I175">
        <v>3.618861876738094</v>
      </c>
      <c r="J175">
        <v>0.93028276168436419</v>
      </c>
      <c r="K175">
        <v>377.79668404316072</v>
      </c>
      <c r="L175">
        <v>0.60936646673803807</v>
      </c>
      <c r="M175">
        <v>0.16116484082755739</v>
      </c>
    </row>
    <row r="176" spans="1:13" x14ac:dyDescent="0.35">
      <c r="A176" s="5">
        <v>45701</v>
      </c>
      <c r="B176">
        <v>352.9691170925563</v>
      </c>
      <c r="C176">
        <v>1.9591170925564261</v>
      </c>
      <c r="D176">
        <v>0.55658386591000153</v>
      </c>
      <c r="E176">
        <v>413.53073194734282</v>
      </c>
      <c r="F176">
        <v>34.915474135393708</v>
      </c>
      <c r="G176">
        <v>8.1012548236354931</v>
      </c>
      <c r="H176">
        <v>386.05236046432458</v>
      </c>
      <c r="I176">
        <v>4.763727996731518</v>
      </c>
      <c r="J176">
        <v>1.2263924486368409</v>
      </c>
      <c r="K176">
        <v>377.86311428255829</v>
      </c>
      <c r="L176">
        <v>1.382906296432111</v>
      </c>
      <c r="M176">
        <v>0.36531227342409472</v>
      </c>
    </row>
    <row r="177" spans="1:13" x14ac:dyDescent="0.35">
      <c r="A177" s="5">
        <v>45702</v>
      </c>
      <c r="B177">
        <v>353.40776349992262</v>
      </c>
      <c r="C177">
        <v>2.3977634999226889</v>
      </c>
      <c r="D177">
        <v>0.68077882874767959</v>
      </c>
      <c r="E177">
        <v>415.45722167832758</v>
      </c>
      <c r="F177">
        <v>35.818326074926972</v>
      </c>
      <c r="G177">
        <v>8.2651371537312901</v>
      </c>
      <c r="H177">
        <v>387.75956817069613</v>
      </c>
      <c r="I177">
        <v>3.056520290360027</v>
      </c>
      <c r="J177">
        <v>0.78515691168229895</v>
      </c>
      <c r="K177">
        <v>376.63435442595141</v>
      </c>
      <c r="L177">
        <v>2.611666153038982</v>
      </c>
      <c r="M177">
        <v>0.69102631564469541</v>
      </c>
    </row>
    <row r="178" spans="1:13" x14ac:dyDescent="0.35">
      <c r="A178" s="5">
        <v>45705</v>
      </c>
      <c r="B178">
        <v>353.86594298533691</v>
      </c>
      <c r="C178">
        <v>2.8559429853369811</v>
      </c>
      <c r="D178">
        <v>0.81033918486175027</v>
      </c>
      <c r="E178">
        <v>419.41618567826708</v>
      </c>
      <c r="F178">
        <v>34.662423262934396</v>
      </c>
      <c r="G178">
        <v>7.9364922324545226</v>
      </c>
      <c r="H178">
        <v>391.01648989993367</v>
      </c>
      <c r="I178">
        <v>0.20040143887757719</v>
      </c>
      <c r="J178">
        <v>5.1264540369420887E-2</v>
      </c>
      <c r="K178">
        <v>376.47333276840061</v>
      </c>
      <c r="L178">
        <v>2.772687810589844</v>
      </c>
      <c r="M178">
        <v>0.73378769468016614</v>
      </c>
    </row>
    <row r="179" spans="1:13" x14ac:dyDescent="0.35">
      <c r="A179" s="5">
        <v>45706</v>
      </c>
      <c r="B179">
        <v>353.03615120509272</v>
      </c>
      <c r="C179">
        <v>3.4796150052955568</v>
      </c>
      <c r="D179">
        <v>0.99050703705668397</v>
      </c>
      <c r="E179">
        <v>423.5475735604993</v>
      </c>
      <c r="F179">
        <v>33.334096568648988</v>
      </c>
      <c r="G179">
        <v>7.5722374756555144</v>
      </c>
      <c r="H179">
        <v>391.41852896068627</v>
      </c>
      <c r="I179">
        <v>0.60244049963023372</v>
      </c>
      <c r="J179">
        <v>0.154030641501366</v>
      </c>
      <c r="K179">
        <v>376.89380954301299</v>
      </c>
      <c r="L179">
        <v>2.3522110359773478</v>
      </c>
      <c r="M179">
        <v>0.62216297628384809</v>
      </c>
    </row>
    <row r="180" spans="1:13" x14ac:dyDescent="0.35">
      <c r="A180" s="5">
        <v>45707</v>
      </c>
      <c r="B180">
        <v>353.4687799256763</v>
      </c>
      <c r="C180">
        <v>3.9122437258791929</v>
      </c>
      <c r="D180">
        <v>1.112973782349808</v>
      </c>
      <c r="E180">
        <v>424.21059858552542</v>
      </c>
      <c r="F180">
        <v>32.671071543622872</v>
      </c>
      <c r="G180">
        <v>7.4160386383330721</v>
      </c>
      <c r="H180">
        <v>392.64026919561081</v>
      </c>
      <c r="I180">
        <v>0.19915880451003429</v>
      </c>
      <c r="J180">
        <v>5.0735836994344911E-2</v>
      </c>
      <c r="K180">
        <v>375.76090880965671</v>
      </c>
      <c r="L180">
        <v>2.6451417002420499</v>
      </c>
      <c r="M180">
        <v>0.70147376984762533</v>
      </c>
    </row>
    <row r="181" spans="1:13" x14ac:dyDescent="0.35">
      <c r="A181" s="5">
        <v>45708</v>
      </c>
      <c r="B181">
        <v>353.39518939109138</v>
      </c>
      <c r="C181">
        <v>3.111167417493562</v>
      </c>
      <c r="D181">
        <v>0.88425730567196237</v>
      </c>
      <c r="E181">
        <v>423.18591307789472</v>
      </c>
      <c r="F181">
        <v>41.978274333389272</v>
      </c>
      <c r="G181">
        <v>9.4508402284805211</v>
      </c>
      <c r="H181">
        <v>389.69993097420371</v>
      </c>
      <c r="I181">
        <v>2.7411794168970118</v>
      </c>
      <c r="J181">
        <v>0.7009424827297156</v>
      </c>
      <c r="K181">
        <v>376.99611346176459</v>
      </c>
      <c r="L181">
        <v>1.409937048134168</v>
      </c>
      <c r="M181">
        <v>0.37329441597603252</v>
      </c>
    </row>
    <row r="182" spans="1:13" x14ac:dyDescent="0.35">
      <c r="A182" s="5">
        <v>45709</v>
      </c>
      <c r="B182">
        <v>353.4518537340706</v>
      </c>
      <c r="C182">
        <v>3.1678317604727231</v>
      </c>
      <c r="D182">
        <v>0.90028997236702868</v>
      </c>
      <c r="E182">
        <v>425.65937232560162</v>
      </c>
      <c r="F182">
        <v>39.50481508568231</v>
      </c>
      <c r="G182">
        <v>8.8692793660173166</v>
      </c>
      <c r="H182">
        <v>390.42781836737743</v>
      </c>
      <c r="I182">
        <v>2.0132920237232952</v>
      </c>
      <c r="J182">
        <v>0.514336934259505</v>
      </c>
      <c r="K182">
        <v>378.50192702729709</v>
      </c>
      <c r="L182">
        <v>0.93771526987978859</v>
      </c>
      <c r="M182">
        <v>0.24805112192619869</v>
      </c>
    </row>
    <row r="183" spans="1:13" x14ac:dyDescent="0.35">
      <c r="A183" s="5">
        <v>45712</v>
      </c>
      <c r="B183">
        <v>353.419615589915</v>
      </c>
      <c r="C183">
        <v>3.1355936163171241</v>
      </c>
      <c r="D183">
        <v>0.89116879576570762</v>
      </c>
      <c r="E183">
        <v>429.69595833381851</v>
      </c>
      <c r="F183">
        <v>36.834352980462427</v>
      </c>
      <c r="G183">
        <v>8.219877999096207</v>
      </c>
      <c r="H183">
        <v>389.62072341278622</v>
      </c>
      <c r="I183">
        <v>2.8203869783145592</v>
      </c>
      <c r="J183">
        <v>0.72126956115385832</v>
      </c>
      <c r="K183">
        <v>377.9803481775952</v>
      </c>
      <c r="L183">
        <v>0.75339795399298737</v>
      </c>
      <c r="M183">
        <v>0.1995208350311122</v>
      </c>
    </row>
    <row r="184" spans="1:13" x14ac:dyDescent="0.35">
      <c r="A184" s="5">
        <v>45713</v>
      </c>
      <c r="B184">
        <v>353.46964467260261</v>
      </c>
      <c r="C184">
        <v>3.1856226990047389</v>
      </c>
      <c r="D184">
        <v>0.90532322600494508</v>
      </c>
      <c r="E184">
        <v>427.40304985978412</v>
      </c>
      <c r="F184">
        <v>39.127261454496868</v>
      </c>
      <c r="G184">
        <v>8.7539548592544456</v>
      </c>
      <c r="H184">
        <v>389.66898290476092</v>
      </c>
      <c r="I184">
        <v>2.772127486339798</v>
      </c>
      <c r="J184">
        <v>0.70888421210826547</v>
      </c>
      <c r="K184">
        <v>377.25875317465318</v>
      </c>
      <c r="L184">
        <v>0.30545858276411758</v>
      </c>
      <c r="M184">
        <v>8.0935158826707557E-2</v>
      </c>
    </row>
    <row r="185" spans="1:13" x14ac:dyDescent="0.35">
      <c r="A185" s="5">
        <v>45714</v>
      </c>
      <c r="B185">
        <v>353.10376049153291</v>
      </c>
      <c r="C185">
        <v>2.4565616220709221</v>
      </c>
      <c r="D185">
        <v>0.69813378991382802</v>
      </c>
      <c r="E185">
        <v>430.32457637959112</v>
      </c>
      <c r="F185">
        <v>40.280312832154891</v>
      </c>
      <c r="G185">
        <v>8.9419459281901332</v>
      </c>
      <c r="H185">
        <v>389.33518792049671</v>
      </c>
      <c r="I185">
        <v>3.1059224706040141</v>
      </c>
      <c r="J185">
        <v>0.79458087366216446</v>
      </c>
      <c r="K185">
        <v>376.56326886314918</v>
      </c>
      <c r="L185">
        <v>1.000942894268178</v>
      </c>
      <c r="M185">
        <v>0.26545721247142662</v>
      </c>
    </row>
    <row r="186" spans="1:13" x14ac:dyDescent="0.35">
      <c r="A186" s="5">
        <v>45715</v>
      </c>
      <c r="B186">
        <v>353.34107089856951</v>
      </c>
      <c r="C186">
        <v>2.6938720291075811</v>
      </c>
      <c r="D186">
        <v>0.76531730564068212</v>
      </c>
      <c r="E186">
        <v>451.3903895548446</v>
      </c>
      <c r="F186">
        <v>27.259610445155261</v>
      </c>
      <c r="G186">
        <v>5.8620272304953982</v>
      </c>
      <c r="H186">
        <v>392.36220194785068</v>
      </c>
      <c r="I186">
        <v>1.6972291662895029</v>
      </c>
      <c r="J186">
        <v>0.43163338721525579</v>
      </c>
      <c r="K186">
        <v>376.28655492513309</v>
      </c>
      <c r="L186">
        <v>1.2776568322842079</v>
      </c>
      <c r="M186">
        <v>0.33896810582464598</v>
      </c>
    </row>
    <row r="187" spans="1:13" x14ac:dyDescent="0.35">
      <c r="A187" s="5">
        <v>45716</v>
      </c>
      <c r="B187">
        <v>352.99198183465251</v>
      </c>
      <c r="C187">
        <v>2.3447829651905749</v>
      </c>
      <c r="D187">
        <v>0.66647310993802389</v>
      </c>
      <c r="E187">
        <v>455.53716136727991</v>
      </c>
      <c r="F187">
        <v>23.11283863271996</v>
      </c>
      <c r="G187">
        <v>4.9482244219438636</v>
      </c>
      <c r="H187">
        <v>394.06861941164829</v>
      </c>
      <c r="I187">
        <v>0.79748487244944499</v>
      </c>
      <c r="J187">
        <v>0.2021675174122505</v>
      </c>
      <c r="K187">
        <v>376.21175615897812</v>
      </c>
      <c r="L187">
        <v>1.689416140076901</v>
      </c>
      <c r="M187">
        <v>0.44805388591634943</v>
      </c>
    </row>
    <row r="188" spans="1:13" x14ac:dyDescent="0.35">
      <c r="A188" s="5">
        <v>45719</v>
      </c>
      <c r="B188">
        <v>352.72150688281289</v>
      </c>
      <c r="C188">
        <v>2.0743080133510148</v>
      </c>
      <c r="D188">
        <v>0.58982095631692188</v>
      </c>
      <c r="E188">
        <v>458.99005838938189</v>
      </c>
      <c r="F188">
        <v>22.311762456955531</v>
      </c>
      <c r="G188">
        <v>4.7457099119245356</v>
      </c>
      <c r="H188">
        <v>393.36619795832621</v>
      </c>
      <c r="I188">
        <v>3.1083288873466022</v>
      </c>
      <c r="J188">
        <v>0.78707739161409729</v>
      </c>
      <c r="K188">
        <v>376.27108462681201</v>
      </c>
      <c r="L188">
        <v>2.1349658830867502</v>
      </c>
      <c r="M188">
        <v>0.56579583074290296</v>
      </c>
    </row>
    <row r="189" spans="1:13" x14ac:dyDescent="0.35">
      <c r="A189" s="5">
        <v>45720</v>
      </c>
      <c r="B189">
        <v>352.15299189627137</v>
      </c>
      <c r="C189">
        <v>1.8689699226734999</v>
      </c>
      <c r="D189">
        <v>0.53213879273729037</v>
      </c>
      <c r="E189">
        <v>457.0206957611972</v>
      </c>
      <c r="F189">
        <v>24.281125085140271</v>
      </c>
      <c r="G189">
        <v>5.1754326802105588</v>
      </c>
      <c r="H189">
        <v>393.89389169564481</v>
      </c>
      <c r="I189">
        <v>2.5806351500279452</v>
      </c>
      <c r="J189">
        <v>0.65302081649231158</v>
      </c>
      <c r="K189">
        <v>377.08629004326377</v>
      </c>
      <c r="L189">
        <v>1.3197604666349889</v>
      </c>
      <c r="M189">
        <v>0.34937759016025871</v>
      </c>
    </row>
    <row r="190" spans="1:13" x14ac:dyDescent="0.35">
      <c r="A190" s="5">
        <v>45721</v>
      </c>
      <c r="B190">
        <v>352.46189080373767</v>
      </c>
      <c r="C190">
        <v>2.177868830139801</v>
      </c>
      <c r="D190">
        <v>0.61981686141228498</v>
      </c>
      <c r="E190">
        <v>461.19947520233399</v>
      </c>
      <c r="F190">
        <v>20.102345644003439</v>
      </c>
      <c r="G190">
        <v>4.2657438728795789</v>
      </c>
      <c r="H190">
        <v>395.36471528759091</v>
      </c>
      <c r="I190">
        <v>1.9115808842296931</v>
      </c>
      <c r="J190">
        <v>0.48233206624272079</v>
      </c>
      <c r="K190">
        <v>376.59611273263869</v>
      </c>
      <c r="L190">
        <v>2.649907846351653</v>
      </c>
      <c r="M190">
        <v>0.70118024110177735</v>
      </c>
    </row>
    <row r="191" spans="1:13" x14ac:dyDescent="0.35">
      <c r="A191" s="5">
        <v>45722</v>
      </c>
      <c r="B191">
        <v>352.70959557217247</v>
      </c>
      <c r="C191">
        <v>1.3371690429981979</v>
      </c>
      <c r="D191">
        <v>0.37983331516046631</v>
      </c>
      <c r="E191">
        <v>464.62884816842592</v>
      </c>
      <c r="F191">
        <v>24.54218889325443</v>
      </c>
      <c r="G191">
        <v>5.1461924609759322</v>
      </c>
      <c r="H191">
        <v>394.61245790988579</v>
      </c>
      <c r="I191">
        <v>4.2625420901142661</v>
      </c>
      <c r="J191">
        <v>1.074381717725486</v>
      </c>
      <c r="K191">
        <v>376.74481703908401</v>
      </c>
      <c r="L191">
        <v>2.836671115962702</v>
      </c>
      <c r="M191">
        <v>0.75011832762701347</v>
      </c>
    </row>
    <row r="192" spans="1:13" x14ac:dyDescent="0.35">
      <c r="A192" s="5">
        <v>45723</v>
      </c>
      <c r="B192">
        <v>352.13964287863843</v>
      </c>
      <c r="C192">
        <v>0.76721634946409267</v>
      </c>
      <c r="D192">
        <v>0.21811035882011301</v>
      </c>
      <c r="E192">
        <v>466.23541731574761</v>
      </c>
      <c r="F192">
        <v>22.93561974593268</v>
      </c>
      <c r="G192">
        <v>4.8012277164022743</v>
      </c>
      <c r="H192">
        <v>393.8342864037615</v>
      </c>
      <c r="I192">
        <v>5.0407135962386178</v>
      </c>
      <c r="J192">
        <v>1.271768524147491</v>
      </c>
      <c r="K192">
        <v>377.23031103547578</v>
      </c>
      <c r="L192">
        <v>3.6900930517824122</v>
      </c>
      <c r="M192">
        <v>0.97344577487736927</v>
      </c>
    </row>
    <row r="193" spans="1:13" x14ac:dyDescent="0.35">
      <c r="A193" s="5">
        <v>45726</v>
      </c>
      <c r="B193">
        <v>352.56712610463808</v>
      </c>
      <c r="C193">
        <v>1.9199272351761461</v>
      </c>
      <c r="D193">
        <v>0.54604326646697832</v>
      </c>
      <c r="E193">
        <v>467.26724143480209</v>
      </c>
      <c r="F193">
        <v>21.90379562687821</v>
      </c>
      <c r="G193">
        <v>4.5802841896522324</v>
      </c>
      <c r="H193">
        <v>393.53065079071479</v>
      </c>
      <c r="I193">
        <v>6.9366709098204069</v>
      </c>
      <c r="J193">
        <v>1.7472767312127719</v>
      </c>
      <c r="K193">
        <v>375.9999520903084</v>
      </c>
      <c r="L193">
        <v>4.9204519969498506</v>
      </c>
      <c r="M193">
        <v>1.300124103359575</v>
      </c>
    </row>
    <row r="194" spans="1:13" x14ac:dyDescent="0.35">
      <c r="A194" s="5">
        <v>45727</v>
      </c>
      <c r="B194">
        <v>352.49450182788041</v>
      </c>
      <c r="C194">
        <v>1.847302958418481</v>
      </c>
      <c r="D194">
        <v>0.52544258336162164</v>
      </c>
      <c r="E194">
        <v>482.09779278336703</v>
      </c>
      <c r="F194">
        <v>9.6683343034832774</v>
      </c>
      <c r="G194">
        <v>1.985561659327461</v>
      </c>
      <c r="H194">
        <v>396.55858493092097</v>
      </c>
      <c r="I194">
        <v>3.9087367696141651</v>
      </c>
      <c r="J194">
        <v>0.98083054442584272</v>
      </c>
      <c r="K194">
        <v>375.76064744396791</v>
      </c>
      <c r="L194">
        <v>5.1597566432903363</v>
      </c>
      <c r="M194">
        <v>1.363786401905797</v>
      </c>
    </row>
    <row r="195" spans="1:13" x14ac:dyDescent="0.35">
      <c r="A195" s="5">
        <v>45728</v>
      </c>
      <c r="B195">
        <v>352.31272591974817</v>
      </c>
      <c r="C195">
        <v>2.0287039461503009</v>
      </c>
      <c r="D195">
        <v>0.57748742852372414</v>
      </c>
      <c r="E195">
        <v>482.53878053765601</v>
      </c>
      <c r="F195">
        <v>9.2273465491942943</v>
      </c>
      <c r="G195">
        <v>1.894139396606729</v>
      </c>
      <c r="H195">
        <v>399.15623768615319</v>
      </c>
      <c r="I195">
        <v>0.28123768615313338</v>
      </c>
      <c r="J195">
        <v>7.0482876577254244E-2</v>
      </c>
      <c r="K195">
        <v>376.33148720491909</v>
      </c>
      <c r="L195">
        <v>4.5889168823391628</v>
      </c>
      <c r="M195">
        <v>1.2119921878329321</v>
      </c>
    </row>
    <row r="196" spans="1:13" x14ac:dyDescent="0.35">
      <c r="A196" s="5">
        <v>45729</v>
      </c>
      <c r="B196">
        <v>352.23447437615448</v>
      </c>
      <c r="C196">
        <v>1.5872755066926061</v>
      </c>
      <c r="D196">
        <v>0.45164799911860642</v>
      </c>
      <c r="E196">
        <v>483.86723774816528</v>
      </c>
      <c r="F196">
        <v>7.8988893386849099</v>
      </c>
      <c r="G196">
        <v>1.619233130679298</v>
      </c>
      <c r="H196">
        <v>399.2838179352313</v>
      </c>
      <c r="I196">
        <v>1.1835037653038969</v>
      </c>
      <c r="J196">
        <v>0.29596800970934589</v>
      </c>
      <c r="K196">
        <v>376.02676931525491</v>
      </c>
      <c r="L196">
        <v>4.893634772003395</v>
      </c>
      <c r="M196">
        <v>1.292992415839608</v>
      </c>
    </row>
    <row r="197" spans="1:13" x14ac:dyDescent="0.35">
      <c r="A197" s="5">
        <v>45730</v>
      </c>
      <c r="B197">
        <v>351.75917750035188</v>
      </c>
      <c r="C197">
        <v>0.38675097117760521</v>
      </c>
      <c r="D197">
        <v>0.1100081318948548</v>
      </c>
      <c r="E197">
        <v>482.9508650552541</v>
      </c>
      <c r="F197">
        <v>8.8152620315961485</v>
      </c>
      <c r="G197">
        <v>1.808783903976706</v>
      </c>
      <c r="H197">
        <v>397.33910754447288</v>
      </c>
      <c r="I197">
        <v>3.1282141560623131</v>
      </c>
      <c r="J197">
        <v>0.78420379715983157</v>
      </c>
      <c r="K197">
        <v>376.29370493178021</v>
      </c>
      <c r="L197">
        <v>4.6266991554780361</v>
      </c>
      <c r="M197">
        <v>1.2220319458843321</v>
      </c>
    </row>
    <row r="198" spans="1:13" x14ac:dyDescent="0.35">
      <c r="A198" s="5">
        <v>45733</v>
      </c>
      <c r="B198">
        <v>352.17964205351058</v>
      </c>
      <c r="C198">
        <v>1.1696420535107559</v>
      </c>
      <c r="D198">
        <v>0.33266760019248082</v>
      </c>
      <c r="E198">
        <v>483.3163177399984</v>
      </c>
      <c r="F198">
        <v>8.4498093468518505</v>
      </c>
      <c r="G198">
        <v>1.7331476721134751</v>
      </c>
      <c r="H198">
        <v>398.57393466530908</v>
      </c>
      <c r="I198">
        <v>1.893387035226056</v>
      </c>
      <c r="J198">
        <v>0.47391471219832931</v>
      </c>
      <c r="K198">
        <v>376.46591484919952</v>
      </c>
      <c r="L198">
        <v>6.1215449230727472</v>
      </c>
      <c r="M198">
        <v>1.6129418899232111</v>
      </c>
    </row>
    <row r="199" spans="1:13" x14ac:dyDescent="0.35">
      <c r="A199" s="5">
        <v>45734</v>
      </c>
      <c r="B199">
        <v>351.45381675482929</v>
      </c>
      <c r="C199">
        <v>0.44381675482946997</v>
      </c>
      <c r="D199">
        <v>0.12636003285685771</v>
      </c>
      <c r="E199">
        <v>485.43098946528801</v>
      </c>
      <c r="F199">
        <v>6.3351376215622386</v>
      </c>
      <c r="G199">
        <v>1.2965935969837099</v>
      </c>
      <c r="H199">
        <v>397.3259026570085</v>
      </c>
      <c r="I199">
        <v>3.141419043526696</v>
      </c>
      <c r="J199">
        <v>0.78752713049335576</v>
      </c>
      <c r="K199">
        <v>376.8326842025964</v>
      </c>
      <c r="L199">
        <v>5.7547755696758713</v>
      </c>
      <c r="M199">
        <v>1.515570956428647</v>
      </c>
    </row>
    <row r="200" spans="1:13" x14ac:dyDescent="0.35">
      <c r="A200" s="5">
        <v>45735</v>
      </c>
      <c r="B200">
        <v>352.21410478042452</v>
      </c>
      <c r="C200">
        <v>1.5669059109625889</v>
      </c>
      <c r="D200">
        <v>0.44586489619667657</v>
      </c>
      <c r="E200">
        <v>488.02871345658178</v>
      </c>
      <c r="F200">
        <v>3.7374136302684628</v>
      </c>
      <c r="G200">
        <v>0.76289718533229789</v>
      </c>
      <c r="H200">
        <v>394.42600329168027</v>
      </c>
      <c r="I200">
        <v>7.6273338105006019</v>
      </c>
      <c r="J200">
        <v>1.91526218538923</v>
      </c>
      <c r="K200">
        <v>377.05148291440429</v>
      </c>
      <c r="L200">
        <v>4.7033589835079397</v>
      </c>
      <c r="M200">
        <v>1.2396731101763721</v>
      </c>
    </row>
    <row r="201" spans="1:13" x14ac:dyDescent="0.35">
      <c r="A201" s="5">
        <v>45736</v>
      </c>
      <c r="B201">
        <v>351.93169798373521</v>
      </c>
      <c r="C201">
        <v>1.284499114273274</v>
      </c>
      <c r="D201">
        <v>0.36565263204643789</v>
      </c>
      <c r="E201">
        <v>489.17530406436578</v>
      </c>
      <c r="F201">
        <v>1.2949943482904021</v>
      </c>
      <c r="G201">
        <v>0.26438016870917869</v>
      </c>
      <c r="H201">
        <v>395.59888839584528</v>
      </c>
      <c r="I201">
        <v>6.4544487063355973</v>
      </c>
      <c r="J201">
        <v>1.618361611742676</v>
      </c>
      <c r="K201">
        <v>376.74044476571129</v>
      </c>
      <c r="L201">
        <v>5.0143971322009966</v>
      </c>
      <c r="M201">
        <v>1.322195989973177</v>
      </c>
    </row>
    <row r="202" spans="1:13" x14ac:dyDescent="0.35">
      <c r="A202" s="5">
        <v>45737</v>
      </c>
      <c r="B202">
        <v>351.69617702383528</v>
      </c>
      <c r="C202">
        <v>1.4121550502374589</v>
      </c>
      <c r="D202">
        <v>0.40233472461311409</v>
      </c>
      <c r="E202">
        <v>498.23813685333442</v>
      </c>
      <c r="F202">
        <v>7.767838440678247</v>
      </c>
      <c r="G202">
        <v>1.571310239421285</v>
      </c>
      <c r="H202">
        <v>398.77351723522833</v>
      </c>
      <c r="I202">
        <v>3.2798198669526069</v>
      </c>
      <c r="J202">
        <v>0.81910836261011055</v>
      </c>
      <c r="K202">
        <v>376.62697674753719</v>
      </c>
      <c r="L202">
        <v>5.1278651503750439</v>
      </c>
      <c r="M202">
        <v>1.3523175330162709</v>
      </c>
    </row>
    <row r="203" spans="1:13" x14ac:dyDescent="0.35">
      <c r="A203" s="5">
        <v>45740</v>
      </c>
      <c r="B203">
        <v>351.77296439187347</v>
      </c>
      <c r="C203">
        <v>0.76296439187365195</v>
      </c>
      <c r="D203">
        <v>0.2171266039534277</v>
      </c>
      <c r="E203">
        <v>499.80532085014312</v>
      </c>
      <c r="F203">
        <v>9.3350224374869413</v>
      </c>
      <c r="G203">
        <v>1.8853382343061811</v>
      </c>
      <c r="H203">
        <v>399.67772993898387</v>
      </c>
      <c r="I203">
        <v>2.3756071631969462</v>
      </c>
      <c r="J203">
        <v>0.59261946077860239</v>
      </c>
      <c r="K203">
        <v>376.60881972961317</v>
      </c>
      <c r="L203">
        <v>5.1460221682991119</v>
      </c>
      <c r="M203">
        <v>1.357138383254076</v>
      </c>
    </row>
    <row r="204" spans="1:13" x14ac:dyDescent="0.35">
      <c r="A204" s="5">
        <v>45741</v>
      </c>
      <c r="B204">
        <v>352.42483210366271</v>
      </c>
      <c r="C204">
        <v>1.4148321036627749</v>
      </c>
      <c r="D204">
        <v>0.40226387409097603</v>
      </c>
      <c r="E204">
        <v>500.01785205105659</v>
      </c>
      <c r="F204">
        <v>9.5475536384004727</v>
      </c>
      <c r="G204">
        <v>1.9278481290120679</v>
      </c>
      <c r="H204">
        <v>401.23412162971198</v>
      </c>
      <c r="I204">
        <v>0.81921547246889759</v>
      </c>
      <c r="J204">
        <v>0.2039657070613671</v>
      </c>
      <c r="K204">
        <v>376.09696330733152</v>
      </c>
      <c r="L204">
        <v>5.6578785905808218</v>
      </c>
      <c r="M204">
        <v>1.493135874776607</v>
      </c>
    </row>
    <row r="205" spans="1:13" x14ac:dyDescent="0.35">
      <c r="A205" s="5">
        <v>45742</v>
      </c>
      <c r="B205">
        <v>352.35050772746212</v>
      </c>
      <c r="C205">
        <v>1.3405077274621819</v>
      </c>
      <c r="D205">
        <v>0.38117230431185922</v>
      </c>
      <c r="E205">
        <v>501.95090409690391</v>
      </c>
      <c r="F205">
        <v>11.48060568424768</v>
      </c>
      <c r="G205">
        <v>2.3136558661214361</v>
      </c>
      <c r="H205">
        <v>399.56950348096052</v>
      </c>
      <c r="I205">
        <v>4.0636170629315984</v>
      </c>
      <c r="J205">
        <v>1.0118535326911129</v>
      </c>
      <c r="K205">
        <v>377.15019009765342</v>
      </c>
      <c r="L205">
        <v>4.604651800258921</v>
      </c>
      <c r="M205">
        <v>1.2134988189894671</v>
      </c>
    </row>
    <row r="206" spans="1:13" x14ac:dyDescent="0.35">
      <c r="A206" s="5">
        <v>45743</v>
      </c>
      <c r="B206">
        <v>352.41871946908878</v>
      </c>
      <c r="C206">
        <v>1.408719469088908</v>
      </c>
      <c r="D206">
        <v>0.4005294154472776</v>
      </c>
      <c r="E206">
        <v>503.41678781582999</v>
      </c>
      <c r="F206">
        <v>12.946489403173871</v>
      </c>
      <c r="G206">
        <v>2.6052233865522969</v>
      </c>
      <c r="H206">
        <v>399.52170523658498</v>
      </c>
      <c r="I206">
        <v>4.1114153073070838</v>
      </c>
      <c r="J206">
        <v>1.023816373962954</v>
      </c>
      <c r="K206">
        <v>377.19969214948759</v>
      </c>
      <c r="L206">
        <v>4.5551497484246974</v>
      </c>
      <c r="M206">
        <v>1.2003748693963801</v>
      </c>
    </row>
    <row r="207" spans="1:13" x14ac:dyDescent="0.35">
      <c r="A207" s="5">
        <v>45744</v>
      </c>
      <c r="B207">
        <v>352.08179884593437</v>
      </c>
      <c r="C207">
        <v>1.4345999764724411</v>
      </c>
      <c r="D207">
        <v>0.40829394578461642</v>
      </c>
      <c r="E207">
        <v>507.53810817983299</v>
      </c>
      <c r="F207">
        <v>17.067809767176811</v>
      </c>
      <c r="G207">
        <v>3.420373947640702</v>
      </c>
      <c r="H207">
        <v>398.41760435517108</v>
      </c>
      <c r="I207">
        <v>5.2155161887209829</v>
      </c>
      <c r="J207">
        <v>1.3005452215948909</v>
      </c>
      <c r="K207">
        <v>377.62883570704139</v>
      </c>
      <c r="L207">
        <v>4.1260061908708394</v>
      </c>
      <c r="M207">
        <v>1.08667234036001</v>
      </c>
    </row>
    <row r="208" spans="1:13" x14ac:dyDescent="0.35">
      <c r="A208" s="5">
        <v>45747</v>
      </c>
      <c r="B208">
        <v>351.22896531218981</v>
      </c>
      <c r="C208">
        <v>0.5817664427278828</v>
      </c>
      <c r="D208">
        <v>0.16577466864291909</v>
      </c>
      <c r="E208">
        <v>508.28519820379029</v>
      </c>
      <c r="F208">
        <v>17.81489979113411</v>
      </c>
      <c r="G208">
        <v>3.567419624019466</v>
      </c>
      <c r="H208">
        <v>397.61327391685609</v>
      </c>
      <c r="I208">
        <v>6.0198466270359177</v>
      </c>
      <c r="J208">
        <v>1.502620584292891</v>
      </c>
      <c r="K208">
        <v>376.87930657939228</v>
      </c>
      <c r="L208">
        <v>4.8755353185200079</v>
      </c>
      <c r="M208">
        <v>1.2853455986145499</v>
      </c>
    </row>
    <row r="209" spans="1:13" x14ac:dyDescent="0.35">
      <c r="A209" s="5">
        <v>45748</v>
      </c>
      <c r="B209">
        <v>350.83629708193109</v>
      </c>
      <c r="C209">
        <v>0.18909821246921871</v>
      </c>
      <c r="D209">
        <v>5.3913802266367591E-2</v>
      </c>
      <c r="E209">
        <v>508.30365866255818</v>
      </c>
      <c r="F209">
        <v>17.833360249902061</v>
      </c>
      <c r="G209">
        <v>3.5710503109481988</v>
      </c>
      <c r="H209">
        <v>398.2521404589134</v>
      </c>
      <c r="I209">
        <v>5.3809800849786598</v>
      </c>
      <c r="J209">
        <v>1.342082301961609</v>
      </c>
      <c r="K209">
        <v>376.57663884945771</v>
      </c>
      <c r="L209">
        <v>5.1782030484545771</v>
      </c>
      <c r="M209">
        <v>1.3656832611910601</v>
      </c>
    </row>
    <row r="210" spans="1:13" x14ac:dyDescent="0.35">
      <c r="A210" s="5">
        <v>45749</v>
      </c>
      <c r="B210">
        <v>351.67299446904508</v>
      </c>
      <c r="C210">
        <v>1.025795599583148</v>
      </c>
      <c r="D210">
        <v>0.2921162197279239</v>
      </c>
      <c r="E210">
        <v>498.84077432846192</v>
      </c>
      <c r="F210">
        <v>9.6697372667816239</v>
      </c>
      <c r="G210">
        <v>1.9574132931014661</v>
      </c>
      <c r="H210">
        <v>400.07534968346948</v>
      </c>
      <c r="I210">
        <v>3.5577708604225791</v>
      </c>
      <c r="J210">
        <v>0.88533865007447665</v>
      </c>
      <c r="K210">
        <v>375.7463722360784</v>
      </c>
      <c r="L210">
        <v>5.1740318511798478</v>
      </c>
      <c r="M210">
        <v>1.367585313133634</v>
      </c>
    </row>
    <row r="211" spans="1:13" x14ac:dyDescent="0.35">
      <c r="A211" s="5">
        <v>45750</v>
      </c>
      <c r="B211">
        <v>351.13710914528662</v>
      </c>
      <c r="C211">
        <v>0.85308717168868498</v>
      </c>
      <c r="D211">
        <v>0.24324535827081981</v>
      </c>
      <c r="E211">
        <v>497.99558905477949</v>
      </c>
      <c r="F211">
        <v>14.05647821540947</v>
      </c>
      <c r="G211">
        <v>2.8630169026361361</v>
      </c>
      <c r="H211">
        <v>399.89246368498192</v>
      </c>
      <c r="I211">
        <v>5.3142812304993754</v>
      </c>
      <c r="J211">
        <v>1.320155621500958</v>
      </c>
      <c r="K211">
        <v>376.10881809639199</v>
      </c>
      <c r="L211">
        <v>4.811585990866206</v>
      </c>
      <c r="M211">
        <v>1.271175761745942</v>
      </c>
    </row>
    <row r="212" spans="1:13" x14ac:dyDescent="0.35">
      <c r="A212" s="5">
        <v>45751</v>
      </c>
      <c r="B212">
        <v>351.21561354277088</v>
      </c>
      <c r="C212">
        <v>0.93159156917306518</v>
      </c>
      <c r="D212">
        <v>0.26560001516959481</v>
      </c>
      <c r="E212">
        <v>497.81355827279651</v>
      </c>
      <c r="F212">
        <v>13.8744474334265</v>
      </c>
      <c r="G212">
        <v>2.8264649274595062</v>
      </c>
      <c r="H212">
        <v>400.29500446015408</v>
      </c>
      <c r="I212">
        <v>4.9117404553271626</v>
      </c>
      <c r="J212">
        <v>1.2195480541499431</v>
      </c>
      <c r="K212">
        <v>376.10485265938081</v>
      </c>
      <c r="L212">
        <v>3.9792816944487299</v>
      </c>
      <c r="M212">
        <v>1.0524569288336401</v>
      </c>
    </row>
    <row r="213" spans="1:13" x14ac:dyDescent="0.35">
      <c r="A213" s="5">
        <v>45754</v>
      </c>
      <c r="B213">
        <v>351.34238066365572</v>
      </c>
      <c r="C213">
        <v>2.1501557000977409</v>
      </c>
      <c r="D213">
        <v>0.61386138038751914</v>
      </c>
      <c r="E213">
        <v>496.91203108801318</v>
      </c>
      <c r="F213">
        <v>12.97292024864316</v>
      </c>
      <c r="G213">
        <v>2.6452373238106688</v>
      </c>
      <c r="H213">
        <v>399.34739815102279</v>
      </c>
      <c r="I213">
        <v>5.8593467644585084</v>
      </c>
      <c r="J213">
        <v>1.4565450479506561</v>
      </c>
      <c r="K213">
        <v>376.61251320183749</v>
      </c>
      <c r="L213">
        <v>3.471621151992053</v>
      </c>
      <c r="M213">
        <v>0.91757275870226618</v>
      </c>
    </row>
    <row r="214" spans="1:13" x14ac:dyDescent="0.35">
      <c r="A214" s="5">
        <v>45755</v>
      </c>
      <c r="B214">
        <v>351.20159634021451</v>
      </c>
      <c r="C214">
        <v>3.1045927621887022</v>
      </c>
      <c r="D214">
        <v>0.88791619561419888</v>
      </c>
      <c r="E214">
        <v>497.23485276365273</v>
      </c>
      <c r="F214">
        <v>13.29574192428271</v>
      </c>
      <c r="G214">
        <v>2.7101701466799368</v>
      </c>
      <c r="H214">
        <v>398.44149211680559</v>
      </c>
      <c r="I214">
        <v>6.7652527986756468</v>
      </c>
      <c r="J214">
        <v>1.683635323747706</v>
      </c>
      <c r="K214">
        <v>376.84259434741023</v>
      </c>
      <c r="L214">
        <v>2.4034262315802271</v>
      </c>
      <c r="M214">
        <v>0.63575252533439575</v>
      </c>
    </row>
    <row r="215" spans="1:13" x14ac:dyDescent="0.35">
      <c r="A215" s="5">
        <v>45756</v>
      </c>
      <c r="B215">
        <v>350.75790390169561</v>
      </c>
      <c r="C215">
        <v>3.392966336028167</v>
      </c>
      <c r="D215">
        <v>0.97202559048106474</v>
      </c>
      <c r="E215">
        <v>497.82744653570342</v>
      </c>
      <c r="F215">
        <v>12.575065681162981</v>
      </c>
      <c r="G215">
        <v>2.558300014057997</v>
      </c>
      <c r="H215">
        <v>397.97971003848318</v>
      </c>
      <c r="I215">
        <v>7.2270348769981183</v>
      </c>
      <c r="J215">
        <v>1.7995908253737509</v>
      </c>
      <c r="K215">
        <v>376.91864631836012</v>
      </c>
      <c r="L215">
        <v>0.64556543905729313</v>
      </c>
      <c r="M215">
        <v>0.17112792746643271</v>
      </c>
    </row>
    <row r="216" spans="1:13" x14ac:dyDescent="0.35">
      <c r="A216" s="5">
        <v>45757</v>
      </c>
      <c r="B216">
        <v>351.34257961782231</v>
      </c>
      <c r="C216">
        <v>3.2455760397965041</v>
      </c>
      <c r="D216">
        <v>0.92805043288141009</v>
      </c>
      <c r="E216">
        <v>497.67261903959837</v>
      </c>
      <c r="F216">
        <v>12.42023818505805</v>
      </c>
      <c r="G216">
        <v>2.5271995699357941</v>
      </c>
      <c r="H216">
        <v>396.83879197463841</v>
      </c>
      <c r="I216">
        <v>9.9354897222261798</v>
      </c>
      <c r="J216">
        <v>2.4727048495698192</v>
      </c>
      <c r="K216">
        <v>377.33442642414821</v>
      </c>
      <c r="L216">
        <v>0.22978533326914891</v>
      </c>
      <c r="M216">
        <v>6.0878460139407863E-2</v>
      </c>
    </row>
    <row r="217" spans="1:13" x14ac:dyDescent="0.35">
      <c r="A217" s="5">
        <v>45758</v>
      </c>
      <c r="B217">
        <v>350.97982843158388</v>
      </c>
      <c r="C217">
        <v>3.2486652106267679</v>
      </c>
      <c r="D217">
        <v>0.92990242015321778</v>
      </c>
      <c r="E217">
        <v>494.82413032681279</v>
      </c>
      <c r="F217">
        <v>9.5717494722724155</v>
      </c>
      <c r="G217">
        <v>1.95326576304434</v>
      </c>
      <c r="H217">
        <v>396.45151130797552</v>
      </c>
      <c r="I217">
        <v>10.32277038888901</v>
      </c>
      <c r="J217">
        <v>2.570328412953939</v>
      </c>
      <c r="K217">
        <v>375.39683370643132</v>
      </c>
      <c r="L217">
        <v>0.47804424499565812</v>
      </c>
      <c r="M217">
        <v>0.12726267675931521</v>
      </c>
    </row>
    <row r="218" spans="1:13" x14ac:dyDescent="0.35">
      <c r="A218" s="5">
        <v>45761</v>
      </c>
      <c r="B218">
        <v>350.66072233942663</v>
      </c>
      <c r="C218">
        <v>2.5637187614008781</v>
      </c>
      <c r="D218">
        <v>0.733793321006869</v>
      </c>
      <c r="E218">
        <v>497.48969974377138</v>
      </c>
      <c r="F218">
        <v>12.23731888923106</v>
      </c>
      <c r="G218">
        <v>2.4904436536961438</v>
      </c>
      <c r="H218">
        <v>399.52620298797069</v>
      </c>
      <c r="I218">
        <v>7.2480787088938428</v>
      </c>
      <c r="J218">
        <v>1.797860437037178</v>
      </c>
      <c r="K218">
        <v>374.98164943303908</v>
      </c>
      <c r="L218">
        <v>0.89322851838784345</v>
      </c>
      <c r="M218">
        <v>0.23792255532473419</v>
      </c>
    </row>
    <row r="219" spans="1:13" x14ac:dyDescent="0.35">
      <c r="A219" s="5">
        <v>45762</v>
      </c>
      <c r="B219">
        <v>350.78846691401901</v>
      </c>
      <c r="C219">
        <v>3.4235293483515079</v>
      </c>
      <c r="D219">
        <v>0.98073842407256051</v>
      </c>
      <c r="E219">
        <v>499.26005820756802</v>
      </c>
      <c r="F219">
        <v>14.007677353027651</v>
      </c>
      <c r="G219">
        <v>2.8456069821468151</v>
      </c>
      <c r="H219">
        <v>402.53987535251258</v>
      </c>
      <c r="I219">
        <v>4.2344063443519531</v>
      </c>
      <c r="J219">
        <v>1.046418453815235</v>
      </c>
      <c r="K219">
        <v>375.4887484430007</v>
      </c>
      <c r="L219">
        <v>0.3861295084262224</v>
      </c>
      <c r="M219">
        <v>0.10278099574213979</v>
      </c>
    </row>
    <row r="220" spans="1:13" x14ac:dyDescent="0.35">
      <c r="A220" s="5">
        <v>45763</v>
      </c>
      <c r="B220">
        <v>350.2056598180892</v>
      </c>
      <c r="C220">
        <v>3.2073344258762968</v>
      </c>
      <c r="D220">
        <v>0.92005625151693404</v>
      </c>
      <c r="E220">
        <v>498.22044336830771</v>
      </c>
      <c r="F220">
        <v>12.96806251376734</v>
      </c>
      <c r="G220">
        <v>2.6371979366109759</v>
      </c>
      <c r="H220">
        <v>402.25442858412418</v>
      </c>
      <c r="I220">
        <v>4.5198531127403498</v>
      </c>
      <c r="J220">
        <v>1.11735295801073</v>
      </c>
      <c r="K220">
        <v>375.21925017073511</v>
      </c>
      <c r="L220">
        <v>1.0413329308209429</v>
      </c>
      <c r="M220">
        <v>0.27791216089567072</v>
      </c>
    </row>
    <row r="221" spans="1:13" x14ac:dyDescent="0.35">
      <c r="A221" s="5">
        <v>45764</v>
      </c>
      <c r="B221">
        <v>351.30457193037989</v>
      </c>
      <c r="C221">
        <v>5.0406353516479498</v>
      </c>
      <c r="D221">
        <v>1.4452015221905909</v>
      </c>
      <c r="E221">
        <v>497.14439904744989</v>
      </c>
      <c r="F221">
        <v>13.20528820807988</v>
      </c>
      <c r="G221">
        <v>2.6919804634374618</v>
      </c>
      <c r="H221">
        <v>401.56691241063578</v>
      </c>
      <c r="I221">
        <v>5.2073692862286984</v>
      </c>
      <c r="J221">
        <v>1.288408737347158</v>
      </c>
      <c r="K221">
        <v>374.8392716693167</v>
      </c>
      <c r="L221">
        <v>0.66135442940253597</v>
      </c>
      <c r="M221">
        <v>0.17659259071628081</v>
      </c>
    </row>
    <row r="222" spans="1:13" x14ac:dyDescent="0.35">
      <c r="A222" s="5">
        <v>45765</v>
      </c>
      <c r="B222">
        <v>350.64857171434932</v>
      </c>
      <c r="C222">
        <v>4.0174407288769771</v>
      </c>
      <c r="D222">
        <v>1.152318277248485</v>
      </c>
      <c r="E222">
        <v>496.90680449811248</v>
      </c>
      <c r="F222">
        <v>12.96769365874246</v>
      </c>
      <c r="G222">
        <v>2.6441856882853241</v>
      </c>
      <c r="H222">
        <v>401.52024405742469</v>
      </c>
      <c r="I222">
        <v>5.2540376394398436</v>
      </c>
      <c r="J222">
        <v>1.300030489390446</v>
      </c>
      <c r="K222">
        <v>375.52017830999648</v>
      </c>
      <c r="L222">
        <v>2.481334905908454</v>
      </c>
      <c r="M222">
        <v>0.66296306207801148</v>
      </c>
    </row>
    <row r="223" spans="1:13" x14ac:dyDescent="0.35">
      <c r="A223" s="5">
        <v>45768</v>
      </c>
      <c r="B223">
        <v>350.98511349461631</v>
      </c>
      <c r="C223">
        <v>3.9867881024033518</v>
      </c>
      <c r="D223">
        <v>1.1423732656928449</v>
      </c>
      <c r="E223">
        <v>497.42896388353171</v>
      </c>
      <c r="F223">
        <v>13.48985304416169</v>
      </c>
      <c r="G223">
        <v>2.7491933743556229</v>
      </c>
      <c r="H223">
        <v>401.32293809782777</v>
      </c>
      <c r="I223">
        <v>5.4513435990367611</v>
      </c>
      <c r="J223">
        <v>1.349180139593041</v>
      </c>
      <c r="K223">
        <v>375.66275767318581</v>
      </c>
      <c r="L223">
        <v>3.7629881049238629</v>
      </c>
      <c r="M223">
        <v>1.0067353479606631</v>
      </c>
    </row>
    <row r="224" spans="1:13" x14ac:dyDescent="0.35">
      <c r="A224" s="5">
        <v>45769</v>
      </c>
      <c r="B224">
        <v>350.75680539810139</v>
      </c>
      <c r="C224">
        <v>4.125479923902617</v>
      </c>
      <c r="D224">
        <v>1.183123067707625</v>
      </c>
      <c r="E224">
        <v>497.49223530731177</v>
      </c>
      <c r="F224">
        <v>13.55312446794181</v>
      </c>
      <c r="G224">
        <v>2.7619098414075292</v>
      </c>
      <c r="H224">
        <v>400.02477689167807</v>
      </c>
      <c r="I224">
        <v>6.7495048051864606</v>
      </c>
      <c r="J224">
        <v>1.6731563413061981</v>
      </c>
      <c r="K224">
        <v>376.01002713325943</v>
      </c>
      <c r="L224">
        <v>5.2493314008235643</v>
      </c>
      <c r="M224">
        <v>1.405874986817778</v>
      </c>
    </row>
    <row r="225" spans="1:13" x14ac:dyDescent="0.35">
      <c r="A225" s="5">
        <v>45770</v>
      </c>
      <c r="B225">
        <v>350.45738058771371</v>
      </c>
      <c r="C225">
        <v>3.45905519550081</v>
      </c>
      <c r="D225">
        <v>0.99190677367556268</v>
      </c>
      <c r="E225">
        <v>496.81811298715598</v>
      </c>
      <c r="F225">
        <v>12.87900214778603</v>
      </c>
      <c r="G225">
        <v>2.6263384729479222</v>
      </c>
      <c r="H225">
        <v>400.25863124749719</v>
      </c>
      <c r="I225">
        <v>8.0771697484477158</v>
      </c>
      <c r="J225">
        <v>1.997829672419986</v>
      </c>
      <c r="K225">
        <v>375.27210742969191</v>
      </c>
      <c r="L225">
        <v>4.5114116972559941</v>
      </c>
      <c r="M225">
        <v>1.209440571013489</v>
      </c>
    </row>
    <row r="226" spans="1:13" x14ac:dyDescent="0.35">
      <c r="A226" s="5">
        <v>45771</v>
      </c>
      <c r="B226">
        <v>350.22961066341651</v>
      </c>
      <c r="C226">
        <v>3.5982851892177341</v>
      </c>
      <c r="D226">
        <v>1.032712555007429</v>
      </c>
      <c r="E226">
        <v>494.33336939643522</v>
      </c>
      <c r="F226">
        <v>10.3942585570652</v>
      </c>
      <c r="G226">
        <v>2.1250231948791471</v>
      </c>
      <c r="H226">
        <v>402.35480459899941</v>
      </c>
      <c r="I226">
        <v>5.9809963969456126</v>
      </c>
      <c r="J226">
        <v>1.47553119665333</v>
      </c>
      <c r="K226">
        <v>374.59638523935251</v>
      </c>
      <c r="L226">
        <v>3.8356895069166508</v>
      </c>
      <c r="M226">
        <v>1.0292219943535561</v>
      </c>
    </row>
    <row r="227" spans="1:13" x14ac:dyDescent="0.35">
      <c r="A227" s="5">
        <v>45772</v>
      </c>
      <c r="B227">
        <v>350.23493576531519</v>
      </c>
      <c r="C227">
        <v>3.6036102911164112</v>
      </c>
      <c r="D227">
        <v>1.0342329630671669</v>
      </c>
      <c r="E227">
        <v>495.29851304681227</v>
      </c>
      <c r="F227">
        <v>11.35940220744226</v>
      </c>
      <c r="G227">
        <v>2.3200501962662661</v>
      </c>
      <c r="H227">
        <v>404.80582277379932</v>
      </c>
      <c r="I227">
        <v>3.5299782221456439</v>
      </c>
      <c r="J227">
        <v>0.86823208133918295</v>
      </c>
      <c r="K227">
        <v>374.70106127172448</v>
      </c>
      <c r="L227">
        <v>3.9403655392886781</v>
      </c>
      <c r="M227">
        <v>1.0571610152408351</v>
      </c>
    </row>
    <row r="228" spans="1:13" x14ac:dyDescent="0.35">
      <c r="A228" s="5">
        <v>45775</v>
      </c>
      <c r="B228">
        <v>350.46661810500319</v>
      </c>
      <c r="C228">
        <v>2.3696145269775002</v>
      </c>
      <c r="D228">
        <v>0.6784248287273974</v>
      </c>
      <c r="E228">
        <v>494.19875931835833</v>
      </c>
      <c r="F228">
        <v>8.9463784638178936</v>
      </c>
      <c r="G228">
        <v>1.82681465095617</v>
      </c>
      <c r="H228">
        <v>403.84542147699602</v>
      </c>
      <c r="I228">
        <v>4.4903795189489983</v>
      </c>
      <c r="J228">
        <v>1.1057580241209271</v>
      </c>
      <c r="K228">
        <v>374.64304922395161</v>
      </c>
      <c r="L228">
        <v>3.882353491515687</v>
      </c>
      <c r="M228">
        <v>1.041678021551349</v>
      </c>
    </row>
    <row r="229" spans="1:13" x14ac:dyDescent="0.35">
      <c r="A229" s="5">
        <v>45776</v>
      </c>
      <c r="B229">
        <v>349.70501555021701</v>
      </c>
      <c r="C229">
        <v>2.3400779845495658</v>
      </c>
      <c r="D229">
        <v>0.67140406040727352</v>
      </c>
      <c r="E229">
        <v>493.14227719131571</v>
      </c>
      <c r="F229">
        <v>7.8898963367752799</v>
      </c>
      <c r="G229">
        <v>1.612824900850079</v>
      </c>
      <c r="H229">
        <v>403.12725821505552</v>
      </c>
      <c r="I229">
        <v>5.2085427808894451</v>
      </c>
      <c r="J229">
        <v>1.2837411935803451</v>
      </c>
      <c r="K229">
        <v>374.73138464957469</v>
      </c>
      <c r="L229">
        <v>3.9706889171388871</v>
      </c>
      <c r="M229">
        <v>1.0652531453061691</v>
      </c>
    </row>
    <row r="230" spans="1:13" x14ac:dyDescent="0.35">
      <c r="A230" s="5">
        <v>45777</v>
      </c>
      <c r="B230">
        <v>349.69027959280959</v>
      </c>
      <c r="C230">
        <v>2.3253420271421419</v>
      </c>
      <c r="D230">
        <v>0.6671901938045367</v>
      </c>
      <c r="E230">
        <v>492.07513150078438</v>
      </c>
      <c r="F230">
        <v>6.8227506462440033</v>
      </c>
      <c r="G230">
        <v>1.396205583080621</v>
      </c>
      <c r="H230">
        <v>404.39117343616999</v>
      </c>
      <c r="I230">
        <v>3.9446275597749718</v>
      </c>
      <c r="J230">
        <v>0.97071407345160088</v>
      </c>
      <c r="K230">
        <v>375.21152049903873</v>
      </c>
      <c r="L230">
        <v>4.4508247666028069</v>
      </c>
      <c r="M230">
        <v>1.1932950503405111</v>
      </c>
    </row>
    <row r="231" spans="1:13" x14ac:dyDescent="0.35">
      <c r="A231" s="5">
        <v>45778</v>
      </c>
      <c r="B231">
        <v>349.69294027167689</v>
      </c>
      <c r="C231">
        <v>2.328002706009499</v>
      </c>
      <c r="D231">
        <v>0.66795104969826502</v>
      </c>
      <c r="E231">
        <v>491.71847890736422</v>
      </c>
      <c r="F231">
        <v>6.4660980528238383</v>
      </c>
      <c r="G231">
        <v>1.3237033608964901</v>
      </c>
      <c r="H231">
        <v>403.33685311815327</v>
      </c>
      <c r="I231">
        <v>3.4374285787112062</v>
      </c>
      <c r="J231">
        <v>0.84863136204049572</v>
      </c>
      <c r="K231">
        <v>375.50050353305869</v>
      </c>
      <c r="L231">
        <v>4.7398078006228266</v>
      </c>
      <c r="M231">
        <v>1.270281184466769</v>
      </c>
    </row>
    <row r="232" spans="1:13" x14ac:dyDescent="0.35">
      <c r="A232" s="5">
        <v>45779</v>
      </c>
      <c r="B232">
        <v>349.47212845245809</v>
      </c>
      <c r="C232">
        <v>2.1071908867906468</v>
      </c>
      <c r="D232">
        <v>0.60478725646199583</v>
      </c>
      <c r="E232">
        <v>490.34022981853718</v>
      </c>
      <c r="F232">
        <v>6.4011189791672223</v>
      </c>
      <c r="G232">
        <v>1.314021289796558</v>
      </c>
      <c r="H232">
        <v>402.01284401824671</v>
      </c>
      <c r="I232">
        <v>4.7614376786178241</v>
      </c>
      <c r="J232">
        <v>1.177426674394171</v>
      </c>
      <c r="K232">
        <v>375.02570311573788</v>
      </c>
      <c r="L232">
        <v>4.265007383302077</v>
      </c>
      <c r="M232">
        <v>1.1437611063674911</v>
      </c>
    </row>
    <row r="233" spans="1:13" x14ac:dyDescent="0.35">
      <c r="A233" s="5">
        <v>45782</v>
      </c>
      <c r="B233">
        <v>349.57569834858288</v>
      </c>
      <c r="C233">
        <v>2.2107607829154858</v>
      </c>
      <c r="D233">
        <v>0.63441867757227122</v>
      </c>
      <c r="E233">
        <v>490.75559920311571</v>
      </c>
      <c r="F233">
        <v>10.777857401477659</v>
      </c>
      <c r="G233">
        <v>2.2205598481498678</v>
      </c>
      <c r="H233">
        <v>402.41826888321498</v>
      </c>
      <c r="I233">
        <v>4.3560128136495564</v>
      </c>
      <c r="J233">
        <v>1.0766319612129129</v>
      </c>
      <c r="K233">
        <v>374.16970278336538</v>
      </c>
      <c r="L233">
        <v>2.552742227134388</v>
      </c>
      <c r="M233">
        <v>0.68457706543137375</v>
      </c>
    </row>
    <row r="234" spans="1:13" x14ac:dyDescent="0.35">
      <c r="A234" s="5">
        <v>45783</v>
      </c>
      <c r="B234">
        <v>349.73207583099168</v>
      </c>
      <c r="C234">
        <v>2.0009126100345038</v>
      </c>
      <c r="D234">
        <v>0.57376862263144113</v>
      </c>
      <c r="E234">
        <v>484.24357597897432</v>
      </c>
      <c r="F234">
        <v>4.2658341773363304</v>
      </c>
      <c r="G234">
        <v>0.88482469712558764</v>
      </c>
      <c r="H234">
        <v>404.45987375128169</v>
      </c>
      <c r="I234">
        <v>2.3144079455828428</v>
      </c>
      <c r="J234">
        <v>0.57058937423666611</v>
      </c>
      <c r="K234">
        <v>373.37701028861011</v>
      </c>
      <c r="L234">
        <v>0.90378490858364557</v>
      </c>
      <c r="M234">
        <v>0.2423502374503973</v>
      </c>
    </row>
    <row r="235" spans="1:13" x14ac:dyDescent="0.35">
      <c r="A235" s="5">
        <v>45784</v>
      </c>
      <c r="B235">
        <v>350.28062428598969</v>
      </c>
      <c r="C235">
        <v>1.453091040690992</v>
      </c>
      <c r="D235">
        <v>0.41569849387030161</v>
      </c>
      <c r="E235">
        <v>483.22013505873298</v>
      </c>
      <c r="F235">
        <v>3.2423932570949892</v>
      </c>
      <c r="G235">
        <v>0.67325589787715356</v>
      </c>
      <c r="H235">
        <v>406.49989663738489</v>
      </c>
      <c r="I235">
        <v>1.293151721903598</v>
      </c>
      <c r="J235">
        <v>0.31862538895325132</v>
      </c>
      <c r="K235">
        <v>374.91843778481041</v>
      </c>
      <c r="L235">
        <v>2.4452124047838879</v>
      </c>
      <c r="M235">
        <v>0.65433226654672882</v>
      </c>
    </row>
    <row r="236" spans="1:13" x14ac:dyDescent="0.35">
      <c r="A236" s="5">
        <v>45785</v>
      </c>
      <c r="B236">
        <v>349.94018031195401</v>
      </c>
      <c r="C236">
        <v>1.1126470666552559</v>
      </c>
      <c r="D236">
        <v>0.3184597814318138</v>
      </c>
      <c r="E236">
        <v>481.55675971121212</v>
      </c>
      <c r="F236">
        <v>4.2381948355098302</v>
      </c>
      <c r="G236">
        <v>0.883992887675079</v>
      </c>
      <c r="H236">
        <v>404.24170326758212</v>
      </c>
      <c r="I236">
        <v>0.96504164789917013</v>
      </c>
      <c r="J236">
        <v>0.23844425177795059</v>
      </c>
      <c r="K236">
        <v>373.71385683626193</v>
      </c>
      <c r="L236">
        <v>0.38731252485092682</v>
      </c>
      <c r="M236">
        <v>0.10369252432824271</v>
      </c>
    </row>
    <row r="237" spans="1:13" x14ac:dyDescent="0.35">
      <c r="A237" s="5">
        <v>45786</v>
      </c>
      <c r="B237">
        <v>349.49476626343409</v>
      </c>
      <c r="C237">
        <v>0.66723301813539138</v>
      </c>
      <c r="D237">
        <v>0.19109600784760461</v>
      </c>
      <c r="E237">
        <v>479.66240579312898</v>
      </c>
      <c r="F237">
        <v>2.3438409174268031</v>
      </c>
      <c r="G237">
        <v>0.4898406529000669</v>
      </c>
      <c r="H237">
        <v>402.95598114183878</v>
      </c>
      <c r="I237">
        <v>0.67713940205328527</v>
      </c>
      <c r="J237">
        <v>0.1679019467627561</v>
      </c>
      <c r="K237">
        <v>373.52906458369552</v>
      </c>
      <c r="L237">
        <v>0.20252027228451649</v>
      </c>
      <c r="M237">
        <v>5.4232778028974971E-2</v>
      </c>
    </row>
    <row r="238" spans="1:13" x14ac:dyDescent="0.35">
      <c r="A238" s="5">
        <v>45789</v>
      </c>
      <c r="B238">
        <v>349.2428409037625</v>
      </c>
      <c r="C238">
        <v>0.23296179933419131</v>
      </c>
      <c r="D238">
        <v>6.6727072493597495E-2</v>
      </c>
      <c r="E238">
        <v>478.74411725966701</v>
      </c>
      <c r="F238">
        <v>1.425552383964714</v>
      </c>
      <c r="G238">
        <v>0.29821316334212239</v>
      </c>
      <c r="H238">
        <v>403.98346652780072</v>
      </c>
      <c r="I238">
        <v>0.35034598390859628</v>
      </c>
      <c r="J238">
        <v>8.6760472609633363E-2</v>
      </c>
      <c r="K238">
        <v>374.81147503183689</v>
      </c>
      <c r="L238">
        <v>0.63355779192272621</v>
      </c>
      <c r="M238">
        <v>0.16917670622839889</v>
      </c>
    </row>
    <row r="239" spans="1:13" x14ac:dyDescent="0.35">
      <c r="A239" s="5">
        <v>45790</v>
      </c>
      <c r="B239">
        <v>349.16079962488902</v>
      </c>
      <c r="C239">
        <v>3.1425338668896068E-2</v>
      </c>
      <c r="D239">
        <v>8.9998432203871655E-3</v>
      </c>
      <c r="E239">
        <v>477.12906663452441</v>
      </c>
      <c r="F239">
        <v>0.1894982411778301</v>
      </c>
      <c r="G239">
        <v>3.9708462763532869E-2</v>
      </c>
      <c r="H239">
        <v>402.4796775154241</v>
      </c>
      <c r="I239">
        <v>1.153443028467962</v>
      </c>
      <c r="J239">
        <v>0.28617410150163292</v>
      </c>
      <c r="K239">
        <v>375.09934270430699</v>
      </c>
      <c r="L239">
        <v>0.41153026907460338</v>
      </c>
      <c r="M239">
        <v>0.10977255778622</v>
      </c>
    </row>
    <row r="240" spans="1:13" x14ac:dyDescent="0.35">
      <c r="A240" s="5">
        <v>45791</v>
      </c>
      <c r="B240">
        <v>349.33025919368259</v>
      </c>
      <c r="C240">
        <v>0.1380342301246742</v>
      </c>
      <c r="D240">
        <v>3.9521771526427163E-2</v>
      </c>
      <c r="E240">
        <v>474.42515172272022</v>
      </c>
      <c r="F240">
        <v>2.893413152982077</v>
      </c>
      <c r="G240">
        <v>0.60802358923330146</v>
      </c>
      <c r="H240">
        <v>401.07327302832658</v>
      </c>
      <c r="I240">
        <v>2.5598475155654228</v>
      </c>
      <c r="J240">
        <v>0.63621900758159811</v>
      </c>
      <c r="K240">
        <v>373.33806635578082</v>
      </c>
      <c r="L240">
        <v>1.689291062981283</v>
      </c>
      <c r="M240">
        <v>0.45146154787883591</v>
      </c>
    </row>
    <row r="241" spans="1:13" x14ac:dyDescent="0.35">
      <c r="A241" s="5">
        <v>45792</v>
      </c>
      <c r="B241">
        <v>348.5922223957615</v>
      </c>
      <c r="C241">
        <v>0.60000256779642314</v>
      </c>
      <c r="D241">
        <v>0.17197361450719029</v>
      </c>
      <c r="E241">
        <v>473.22399462503438</v>
      </c>
      <c r="F241">
        <v>1.420495625300134</v>
      </c>
      <c r="G241">
        <v>0.29972420182044718</v>
      </c>
      <c r="H241">
        <v>401.90178306802682</v>
      </c>
      <c r="I241">
        <v>1.731337475865246</v>
      </c>
      <c r="J241">
        <v>0.42986032463699347</v>
      </c>
      <c r="K241">
        <v>374.1472509240009</v>
      </c>
      <c r="L241">
        <v>0.88010649476120761</v>
      </c>
      <c r="M241">
        <v>0.2349536369653733</v>
      </c>
    </row>
    <row r="242" spans="1:13" x14ac:dyDescent="0.35">
      <c r="A242" s="5">
        <v>45793</v>
      </c>
      <c r="B242">
        <v>348.33117402012988</v>
      </c>
      <c r="C242">
        <v>0.49635922516881692</v>
      </c>
      <c r="D242">
        <v>0.14239490090162149</v>
      </c>
      <c r="E242">
        <v>474.34180445135343</v>
      </c>
      <c r="F242">
        <v>0.30268579898114473</v>
      </c>
      <c r="G242">
        <v>6.3791395233224746E-2</v>
      </c>
      <c r="H242">
        <v>400.63736952268931</v>
      </c>
      <c r="I242">
        <v>2.9957510212028069</v>
      </c>
      <c r="J242">
        <v>0.74496106924296102</v>
      </c>
      <c r="K242">
        <v>373.33712854930019</v>
      </c>
      <c r="L242">
        <v>0.84078869061397654</v>
      </c>
      <c r="M242">
        <v>0.22495565683933069</v>
      </c>
    </row>
    <row r="243" spans="1:13" x14ac:dyDescent="0.35">
      <c r="A243" s="5">
        <v>45796</v>
      </c>
      <c r="B243">
        <v>349.02021638396832</v>
      </c>
      <c r="C243">
        <v>0.1926831386695653</v>
      </c>
      <c r="D243">
        <v>5.5222113640669722E-2</v>
      </c>
      <c r="E243">
        <v>473.09327263128961</v>
      </c>
      <c r="F243">
        <v>1.551217619044962</v>
      </c>
      <c r="G243">
        <v>0.32735165354779971</v>
      </c>
      <c r="H243">
        <v>403.6947788707098</v>
      </c>
      <c r="I243">
        <v>1.6414417685289211</v>
      </c>
      <c r="J243">
        <v>0.40743297712759291</v>
      </c>
      <c r="K243">
        <v>375.37985524733432</v>
      </c>
      <c r="L243">
        <v>1.201938007420154</v>
      </c>
      <c r="M243">
        <v>0.3207059019431619</v>
      </c>
    </row>
    <row r="244" spans="1:13" x14ac:dyDescent="0.35">
      <c r="A244" s="5">
        <v>45797</v>
      </c>
      <c r="B244">
        <v>349.35114251151811</v>
      </c>
      <c r="C244">
        <v>0.52360926621940962</v>
      </c>
      <c r="D244">
        <v>0.1499929128175744</v>
      </c>
      <c r="E244">
        <v>471.14189093672729</v>
      </c>
      <c r="F244">
        <v>3.5025993136072202</v>
      </c>
      <c r="G244">
        <v>0.74067450817193714</v>
      </c>
      <c r="H244">
        <v>401.63820979952402</v>
      </c>
      <c r="I244">
        <v>1.1708880989887691</v>
      </c>
      <c r="J244">
        <v>0.29195362779733702</v>
      </c>
      <c r="K244">
        <v>373.34407088177068</v>
      </c>
      <c r="L244">
        <v>2.5308070696561908</v>
      </c>
      <c r="M244">
        <v>0.67558544097091011</v>
      </c>
    </row>
    <row r="245" spans="1:13" x14ac:dyDescent="0.35">
      <c r="A245" s="5">
        <v>45798</v>
      </c>
      <c r="B245">
        <v>348.76208412487227</v>
      </c>
      <c r="C245">
        <v>0.66508054684652507</v>
      </c>
      <c r="D245">
        <v>0.19087949302315119</v>
      </c>
      <c r="E245">
        <v>469.80873519227009</v>
      </c>
      <c r="F245">
        <v>0.7961540194759209</v>
      </c>
      <c r="G245">
        <v>0.16931996704758079</v>
      </c>
      <c r="H245">
        <v>399.94932742926449</v>
      </c>
      <c r="I245">
        <v>0.51799427127065201</v>
      </c>
      <c r="J245">
        <v>0.12943115859316681</v>
      </c>
      <c r="K245">
        <v>374.88738253413692</v>
      </c>
      <c r="L245">
        <v>0.98749541729006296</v>
      </c>
      <c r="M245">
        <v>0.2630647461291909</v>
      </c>
    </row>
    <row r="246" spans="1:13" x14ac:dyDescent="0.35">
      <c r="A246" s="5">
        <v>45799</v>
      </c>
      <c r="B246">
        <v>349.07858603147969</v>
      </c>
      <c r="C246">
        <v>1.347422810522573</v>
      </c>
      <c r="D246">
        <v>0.38674051617909649</v>
      </c>
      <c r="E246">
        <v>467.49223263340451</v>
      </c>
      <c r="F246">
        <v>3.1126565783414999</v>
      </c>
      <c r="G246">
        <v>0.66361072981850511</v>
      </c>
      <c r="H246">
        <v>400.18858131544511</v>
      </c>
      <c r="I246">
        <v>0.27874038509008869</v>
      </c>
      <c r="J246">
        <v>6.9628009745536082E-2</v>
      </c>
      <c r="K246">
        <v>374.49646104829282</v>
      </c>
      <c r="L246">
        <v>1.378416903134166</v>
      </c>
      <c r="M246">
        <v>0.3673959362498197</v>
      </c>
    </row>
    <row r="247" spans="1:13" x14ac:dyDescent="0.35">
      <c r="A247" s="5">
        <v>45800</v>
      </c>
      <c r="B247">
        <v>348.81660640980988</v>
      </c>
      <c r="C247">
        <v>1.085443188852707</v>
      </c>
      <c r="D247">
        <v>0.31166367510675919</v>
      </c>
      <c r="E247">
        <v>465.62605475288672</v>
      </c>
      <c r="F247">
        <v>4.9788344588592963</v>
      </c>
      <c r="G247">
        <v>1.0635910916970019</v>
      </c>
      <c r="H247">
        <v>398.04588912332417</v>
      </c>
      <c r="I247">
        <v>2.421432577211021</v>
      </c>
      <c r="J247">
        <v>0.60648528900673426</v>
      </c>
      <c r="K247">
        <v>374.39603235131761</v>
      </c>
      <c r="L247">
        <v>0.63132506744454986</v>
      </c>
      <c r="M247">
        <v>0.16848288325728319</v>
      </c>
    </row>
    <row r="248" spans="1:13" x14ac:dyDescent="0.35">
      <c r="A248" s="5">
        <v>45803</v>
      </c>
      <c r="B248">
        <v>347.93274668343861</v>
      </c>
      <c r="C248">
        <v>0.20158346248138059</v>
      </c>
      <c r="D248">
        <v>5.7954267746643251E-2</v>
      </c>
      <c r="E248">
        <v>464.33414465842299</v>
      </c>
      <c r="F248">
        <v>6.2707445533229702</v>
      </c>
      <c r="G248">
        <v>1.3414232000487329</v>
      </c>
      <c r="H248">
        <v>396.42922863905841</v>
      </c>
      <c r="I248">
        <v>4.0380930614767863</v>
      </c>
      <c r="J248">
        <v>1.013454772706939</v>
      </c>
      <c r="K248">
        <v>373.66275099364913</v>
      </c>
      <c r="L248">
        <v>1.3646064251130381</v>
      </c>
      <c r="M248">
        <v>0.364531709389528</v>
      </c>
    </row>
    <row r="249" spans="1:13" x14ac:dyDescent="0.35">
      <c r="A249" s="5">
        <v>45804</v>
      </c>
      <c r="B249">
        <v>348.2569832899224</v>
      </c>
      <c r="C249">
        <v>1.2586578977094971</v>
      </c>
      <c r="D249">
        <v>0.36207070467258889</v>
      </c>
      <c r="E249">
        <v>462.97709654625368</v>
      </c>
      <c r="F249">
        <v>7.6277926654922794</v>
      </c>
      <c r="G249">
        <v>1.6340916559779299</v>
      </c>
      <c r="H249">
        <v>396.82598090040409</v>
      </c>
      <c r="I249">
        <v>3.6413408001311041</v>
      </c>
      <c r="J249">
        <v>0.9134256586007371</v>
      </c>
      <c r="K249">
        <v>373.69022017058688</v>
      </c>
      <c r="L249">
        <v>1.3371372481752251</v>
      </c>
      <c r="M249">
        <v>0.35718067484949728</v>
      </c>
    </row>
    <row r="250" spans="1:13" x14ac:dyDescent="0.35">
      <c r="A250" s="5">
        <v>45805</v>
      </c>
      <c r="B250">
        <v>348.40782159500151</v>
      </c>
      <c r="C250">
        <v>2.8798347039249279</v>
      </c>
      <c r="D250">
        <v>0.83000031665975049</v>
      </c>
      <c r="E250">
        <v>465.3291124224001</v>
      </c>
      <c r="F250">
        <v>2.5633340864104071</v>
      </c>
      <c r="G250">
        <v>0.54935166507428534</v>
      </c>
      <c r="H250">
        <v>395.98294530227793</v>
      </c>
      <c r="I250">
        <v>2.8920546977222439</v>
      </c>
      <c r="J250">
        <v>0.7276909578157178</v>
      </c>
      <c r="K250">
        <v>373.44847260117962</v>
      </c>
      <c r="L250">
        <v>0.72944463873460563</v>
      </c>
      <c r="M250">
        <v>0.19513613982771441</v>
      </c>
    </row>
    <row r="251" spans="1:13" x14ac:dyDescent="0.35">
      <c r="A251" s="5">
        <v>45806</v>
      </c>
      <c r="B251">
        <v>348.23173987096459</v>
      </c>
      <c r="C251">
        <v>2.703752979888066</v>
      </c>
      <c r="D251">
        <v>0.77944939021098447</v>
      </c>
      <c r="E251">
        <v>465.23665139417773</v>
      </c>
      <c r="F251">
        <v>2.8168194232727051</v>
      </c>
      <c r="G251">
        <v>0.60729795431486933</v>
      </c>
      <c r="H251">
        <v>397.73559919155792</v>
      </c>
      <c r="I251">
        <v>1.1394008084422469</v>
      </c>
      <c r="J251">
        <v>0.28606217632518788</v>
      </c>
      <c r="K251">
        <v>373.56142769336338</v>
      </c>
      <c r="L251">
        <v>0.23488338195244299</v>
      </c>
      <c r="M251">
        <v>6.2896549618271583E-2</v>
      </c>
    </row>
    <row r="252" spans="1:13" x14ac:dyDescent="0.35">
      <c r="A252" s="5">
        <v>45807</v>
      </c>
      <c r="B252">
        <v>348.18862090030183</v>
      </c>
      <c r="C252">
        <v>2.6606340092251912</v>
      </c>
      <c r="D252">
        <v>0.76706654542868336</v>
      </c>
      <c r="E252">
        <v>463.59588863058377</v>
      </c>
      <c r="F252">
        <v>1.176056659678864</v>
      </c>
      <c r="G252">
        <v>0.25400360566556268</v>
      </c>
      <c r="H252">
        <v>396.95348861229252</v>
      </c>
      <c r="I252">
        <v>1.9215113877076531</v>
      </c>
      <c r="J252">
        <v>0.48289585386877548</v>
      </c>
      <c r="K252">
        <v>373.50644022564728</v>
      </c>
      <c r="L252">
        <v>0.17989591423639689</v>
      </c>
      <c r="M252">
        <v>4.8175674604921018E-2</v>
      </c>
    </row>
    <row r="253" spans="1:13" x14ac:dyDescent="0.35">
      <c r="A253" s="5">
        <v>45810</v>
      </c>
      <c r="B253">
        <v>348.44054201120531</v>
      </c>
      <c r="C253">
        <v>2.912555120128673</v>
      </c>
      <c r="D253">
        <v>0.83939112476346533</v>
      </c>
      <c r="E253">
        <v>461.85611442197859</v>
      </c>
      <c r="F253">
        <v>0.56371754892637682</v>
      </c>
      <c r="G253">
        <v>0.1219803568677435</v>
      </c>
      <c r="H253">
        <v>394.86560134492009</v>
      </c>
      <c r="I253">
        <v>0.8055315103842986</v>
      </c>
      <c r="J253">
        <v>0.20379356847958319</v>
      </c>
      <c r="K253">
        <v>373.90332547189178</v>
      </c>
      <c r="L253">
        <v>0.91787446542150519</v>
      </c>
      <c r="M253">
        <v>0.24578611818197421</v>
      </c>
    </row>
    <row r="254" spans="1:13" x14ac:dyDescent="0.35">
      <c r="A254" s="5">
        <v>45811</v>
      </c>
      <c r="B254">
        <v>348.9501927639588</v>
      </c>
      <c r="C254">
        <v>5.2689747726346354</v>
      </c>
      <c r="D254">
        <v>1.5214368539506611</v>
      </c>
      <c r="E254">
        <v>459.58347583940201</v>
      </c>
      <c r="F254">
        <v>2.8363561315029528</v>
      </c>
      <c r="G254">
        <v>0.61525942639817555</v>
      </c>
      <c r="H254">
        <v>394.66310976620832</v>
      </c>
      <c r="I254">
        <v>1.008023089096127</v>
      </c>
      <c r="J254">
        <v>0.25508779317280922</v>
      </c>
      <c r="K254">
        <v>374.18486091522323</v>
      </c>
      <c r="L254">
        <v>1.7116355351967061</v>
      </c>
      <c r="M254">
        <v>0.45847907271438149</v>
      </c>
    </row>
    <row r="255" spans="1:13" x14ac:dyDescent="0.35">
      <c r="A255" s="5">
        <v>45812</v>
      </c>
      <c r="B255">
        <v>348.57939012178468</v>
      </c>
      <c r="C255">
        <v>4.8981721304605799</v>
      </c>
      <c r="D255">
        <v>1.415123747633567</v>
      </c>
      <c r="E255">
        <v>458.50183236799438</v>
      </c>
      <c r="F255">
        <v>5.2922071851246528</v>
      </c>
      <c r="G255">
        <v>1.1476159324233219</v>
      </c>
      <c r="H255">
        <v>392.7935893683711</v>
      </c>
      <c r="I255">
        <v>1.2658417457691371</v>
      </c>
      <c r="J255">
        <v>0.32174795363761838</v>
      </c>
      <c r="K255">
        <v>373.68383771074792</v>
      </c>
      <c r="L255">
        <v>1.210612330721403</v>
      </c>
      <c r="M255">
        <v>0.32449262778716698</v>
      </c>
    </row>
    <row r="256" spans="1:13" x14ac:dyDescent="0.35">
      <c r="A256" s="5">
        <v>45813</v>
      </c>
      <c r="B256">
        <v>347.86689767724317</v>
      </c>
      <c r="C256">
        <v>4.1856796859190126</v>
      </c>
      <c r="D256">
        <v>1.2105245003443961</v>
      </c>
      <c r="E256">
        <v>455.94658252517218</v>
      </c>
      <c r="F256">
        <v>9.217604886111701</v>
      </c>
      <c r="G256">
        <v>2.0014107286461491</v>
      </c>
      <c r="H256">
        <v>390.35188812063512</v>
      </c>
      <c r="I256">
        <v>0.46420034042102998</v>
      </c>
      <c r="J256">
        <v>0.1188477649717084</v>
      </c>
      <c r="K256">
        <v>374.08000907173817</v>
      </c>
      <c r="L256">
        <v>1.606783691711769</v>
      </c>
      <c r="M256">
        <v>0.4304538826067017</v>
      </c>
    </row>
    <row r="257" spans="1:13" x14ac:dyDescent="0.35">
      <c r="A257" s="5">
        <v>45814</v>
      </c>
      <c r="B257">
        <v>348.08012375791373</v>
      </c>
      <c r="C257">
        <v>4.3989057665895066</v>
      </c>
      <c r="D257">
        <v>1.271798668444267</v>
      </c>
      <c r="E257">
        <v>455.13684255534912</v>
      </c>
      <c r="F257">
        <v>10.027344855934871</v>
      </c>
      <c r="G257">
        <v>2.179144547148538</v>
      </c>
      <c r="H257">
        <v>390.45522124276158</v>
      </c>
      <c r="I257">
        <v>0.36086721829445878</v>
      </c>
      <c r="J257">
        <v>9.2379488101582571E-2</v>
      </c>
      <c r="K257">
        <v>373.18679849349093</v>
      </c>
      <c r="L257">
        <v>0.71357311346446295</v>
      </c>
      <c r="M257">
        <v>0.19139368897842429</v>
      </c>
    </row>
    <row r="258" spans="1:13" x14ac:dyDescent="0.35">
      <c r="A258" s="5">
        <v>45817</v>
      </c>
      <c r="B258">
        <v>347.78856715120588</v>
      </c>
      <c r="C258">
        <v>4.1073491598817782</v>
      </c>
      <c r="D258">
        <v>1.1880053902963059</v>
      </c>
      <c r="E258">
        <v>456.77389980793407</v>
      </c>
      <c r="F258">
        <v>8.3902876033498046</v>
      </c>
      <c r="G258">
        <v>1.820141226328305</v>
      </c>
      <c r="H258">
        <v>392.2320930149483</v>
      </c>
      <c r="I258">
        <v>1.4160045538922079</v>
      </c>
      <c r="J258">
        <v>0.36166473210450778</v>
      </c>
      <c r="K258">
        <v>372.58124211580258</v>
      </c>
      <c r="L258">
        <v>0.1080167357761752</v>
      </c>
      <c r="M258">
        <v>2.899566152236507E-2</v>
      </c>
    </row>
    <row r="259" spans="1:13" x14ac:dyDescent="0.35">
      <c r="A259" s="5">
        <v>45818</v>
      </c>
      <c r="B259">
        <v>347.92803382190368</v>
      </c>
      <c r="C259">
        <v>3.8766690157165158</v>
      </c>
      <c r="D259">
        <v>1.1204579279100919</v>
      </c>
      <c r="E259">
        <v>456.67764713393609</v>
      </c>
      <c r="F259">
        <v>11.214799374874421</v>
      </c>
      <c r="G259">
        <v>2.4259489793118481</v>
      </c>
      <c r="H259">
        <v>393.82995409214482</v>
      </c>
      <c r="I259">
        <v>3.0138656310886631</v>
      </c>
      <c r="J259">
        <v>0.7682102419790926</v>
      </c>
      <c r="K259">
        <v>373.04131431172488</v>
      </c>
      <c r="L259">
        <v>0.56808893169841213</v>
      </c>
      <c r="M259">
        <v>0.1524018383151319</v>
      </c>
    </row>
    <row r="260" spans="1:13" x14ac:dyDescent="0.35">
      <c r="A260" s="5">
        <v>45819</v>
      </c>
      <c r="B260">
        <v>347.86287153149942</v>
      </c>
      <c r="C260">
        <v>3.8115067253122561</v>
      </c>
      <c r="D260">
        <v>1.101728082800151</v>
      </c>
      <c r="E260">
        <v>455.57298058844577</v>
      </c>
      <c r="F260">
        <v>13.677647141555161</v>
      </c>
      <c r="G260">
        <v>2.957893163308063</v>
      </c>
      <c r="H260">
        <v>393.16651594761089</v>
      </c>
      <c r="I260">
        <v>2.35042748655485</v>
      </c>
      <c r="J260">
        <v>0.5996121529578321</v>
      </c>
      <c r="K260">
        <v>372.46279016016649</v>
      </c>
      <c r="L260">
        <v>1.043521985997131E-2</v>
      </c>
      <c r="M260">
        <v>2.8016419242138961E-3</v>
      </c>
    </row>
    <row r="261" spans="1:13" x14ac:dyDescent="0.35">
      <c r="A261" s="5">
        <v>45820</v>
      </c>
      <c r="B261">
        <v>347.88667581603812</v>
      </c>
      <c r="C261">
        <v>4.2054578247139034</v>
      </c>
      <c r="D261">
        <v>1.216209677277279</v>
      </c>
      <c r="E261">
        <v>454.98702080229629</v>
      </c>
      <c r="F261">
        <v>14.2636069277047</v>
      </c>
      <c r="G261">
        <v>3.0865669560973839</v>
      </c>
      <c r="H261">
        <v>391.62603384834921</v>
      </c>
      <c r="I261">
        <v>2.441752466122693</v>
      </c>
      <c r="J261">
        <v>0.62544062712635473</v>
      </c>
      <c r="K261">
        <v>372.94621239158403</v>
      </c>
      <c r="L261">
        <v>0.47298701155756362</v>
      </c>
      <c r="M261">
        <v>0.1269049309933562</v>
      </c>
    </row>
    <row r="262" spans="1:13" x14ac:dyDescent="0.35">
      <c r="A262" s="5">
        <v>45821</v>
      </c>
      <c r="B262">
        <v>347.55792850804232</v>
      </c>
      <c r="C262">
        <v>3.8767105167181062</v>
      </c>
      <c r="D262">
        <v>1.12166984070589</v>
      </c>
      <c r="E262">
        <v>454.58712029060052</v>
      </c>
      <c r="F262">
        <v>14.66350743940052</v>
      </c>
      <c r="G262">
        <v>3.1744767889855718</v>
      </c>
      <c r="H262">
        <v>390.12412762272311</v>
      </c>
      <c r="I262">
        <v>0.93984624049653576</v>
      </c>
      <c r="J262">
        <v>0.2412000767954155</v>
      </c>
      <c r="K262">
        <v>373.52385493940091</v>
      </c>
      <c r="L262">
        <v>1.050629559374443</v>
      </c>
      <c r="M262">
        <v>0.28167122555615731</v>
      </c>
    </row>
    <row r="263" spans="1:13" x14ac:dyDescent="0.35">
      <c r="A263" s="5">
        <v>45824</v>
      </c>
      <c r="B263">
        <v>347.50097320855889</v>
      </c>
      <c r="C263">
        <v>3.8197552172347291</v>
      </c>
      <c r="D263">
        <v>1.1052817233626</v>
      </c>
      <c r="E263">
        <v>454.9882932153659</v>
      </c>
      <c r="F263">
        <v>14.262334514635089</v>
      </c>
      <c r="G263">
        <v>3.086287363887835</v>
      </c>
      <c r="H263">
        <v>386.8252944394402</v>
      </c>
      <c r="I263">
        <v>0.7203090061415196</v>
      </c>
      <c r="J263">
        <v>0.1860372098457837</v>
      </c>
      <c r="K263">
        <v>373.56819816946211</v>
      </c>
      <c r="L263">
        <v>1.094972789435644</v>
      </c>
      <c r="M263">
        <v>0.293542088916731</v>
      </c>
    </row>
    <row r="264" spans="1:13" x14ac:dyDescent="0.35">
      <c r="A264" s="5">
        <v>45825</v>
      </c>
      <c r="B264">
        <v>347.38022987197331</v>
      </c>
      <c r="C264">
        <v>3.6990118806491519</v>
      </c>
      <c r="D264">
        <v>1.0705305272305881</v>
      </c>
      <c r="E264">
        <v>453.1835298434217</v>
      </c>
      <c r="F264">
        <v>17.421359368324321</v>
      </c>
      <c r="G264">
        <v>3.7717206687095119</v>
      </c>
      <c r="H264">
        <v>385.80895575218102</v>
      </c>
      <c r="I264">
        <v>1.736647693400698</v>
      </c>
      <c r="J264">
        <v>0.44912069703247182</v>
      </c>
      <c r="K264">
        <v>372.92156454637001</v>
      </c>
      <c r="L264">
        <v>0.44833916634354409</v>
      </c>
      <c r="M264">
        <v>0.1202957606902013</v>
      </c>
    </row>
    <row r="265" spans="1:13" x14ac:dyDescent="0.35">
      <c r="A265" s="5">
        <v>45826</v>
      </c>
      <c r="B265">
        <v>348.15278347380018</v>
      </c>
      <c r="C265">
        <v>4.4715654824760236</v>
      </c>
      <c r="D265">
        <v>1.292670054668144</v>
      </c>
      <c r="E265">
        <v>453.06578138216031</v>
      </c>
      <c r="F265">
        <v>16.184846347840679</v>
      </c>
      <c r="G265">
        <v>3.5096082402828519</v>
      </c>
      <c r="H265">
        <v>386.52344573389399</v>
      </c>
      <c r="I265">
        <v>1.0221577116877261</v>
      </c>
      <c r="J265">
        <v>0.26409987914417349</v>
      </c>
      <c r="K265">
        <v>373.01319839779308</v>
      </c>
      <c r="L265">
        <v>1.395251357422183</v>
      </c>
      <c r="M265">
        <v>0.37474966390270209</v>
      </c>
    </row>
    <row r="266" spans="1:13" x14ac:dyDescent="0.35">
      <c r="A266" s="5">
        <v>45827</v>
      </c>
      <c r="B266">
        <v>347.36332622826859</v>
      </c>
      <c r="C266">
        <v>3.6821082369444298</v>
      </c>
      <c r="D266">
        <v>1.065664512582958</v>
      </c>
      <c r="E266">
        <v>457.92076846692311</v>
      </c>
      <c r="F266">
        <v>11.329859263077941</v>
      </c>
      <c r="G266">
        <v>2.4439622079694852</v>
      </c>
      <c r="H266">
        <v>385.3369629845385</v>
      </c>
      <c r="I266">
        <v>2.2086404610432169</v>
      </c>
      <c r="J266">
        <v>0.57153325924913501</v>
      </c>
      <c r="K266">
        <v>372.87933483814561</v>
      </c>
      <c r="L266">
        <v>2.1186391057097471</v>
      </c>
      <c r="M266">
        <v>0.56980232871115077</v>
      </c>
    </row>
    <row r="267" spans="1:13" x14ac:dyDescent="0.35">
      <c r="A267" s="5">
        <v>45828</v>
      </c>
      <c r="B267">
        <v>347.05552392907953</v>
      </c>
      <c r="C267">
        <v>3.37430593775531</v>
      </c>
      <c r="D267">
        <v>0.97701649064561835</v>
      </c>
      <c r="E267">
        <v>459.08667514300532</v>
      </c>
      <c r="F267">
        <v>10.163952586995659</v>
      </c>
      <c r="G267">
        <v>2.1897111223561478</v>
      </c>
      <c r="H267">
        <v>384.73498454355592</v>
      </c>
      <c r="I267">
        <v>0.48770153429359198</v>
      </c>
      <c r="J267">
        <v>0.12684337594562109</v>
      </c>
      <c r="K267">
        <v>372.70096171892499</v>
      </c>
      <c r="L267">
        <v>1.94026598648918</v>
      </c>
      <c r="M267">
        <v>0.52195455328269291</v>
      </c>
    </row>
    <row r="268" spans="1:13" x14ac:dyDescent="0.35">
      <c r="A268" s="5">
        <v>45831</v>
      </c>
      <c r="B268">
        <v>347.29582618651318</v>
      </c>
      <c r="C268">
        <v>3.6146081951890778</v>
      </c>
      <c r="D268">
        <v>1.0462310508419079</v>
      </c>
      <c r="E268">
        <v>458.24406301438393</v>
      </c>
      <c r="F268">
        <v>11.00656471561706</v>
      </c>
      <c r="G268">
        <v>2.373396813039101</v>
      </c>
      <c r="H268">
        <v>386.21762352670612</v>
      </c>
      <c r="I268">
        <v>2.7993539600357171</v>
      </c>
      <c r="J268">
        <v>0.72744891062300798</v>
      </c>
      <c r="K268">
        <v>372.96383531160649</v>
      </c>
      <c r="L268">
        <v>2.203139579170625</v>
      </c>
      <c r="M268">
        <v>0.5924611834647564</v>
      </c>
    </row>
    <row r="269" spans="1:13" x14ac:dyDescent="0.35">
      <c r="A269" s="5">
        <v>45832</v>
      </c>
      <c r="B269">
        <v>346.81767492234002</v>
      </c>
      <c r="C269">
        <v>3.1364569310157999</v>
      </c>
      <c r="D269">
        <v>0.90846110347289433</v>
      </c>
      <c r="E269">
        <v>456.37178632230012</v>
      </c>
      <c r="F269">
        <v>12.878841407700859</v>
      </c>
      <c r="G269">
        <v>2.782741906890156</v>
      </c>
      <c r="H269">
        <v>384.98495246573572</v>
      </c>
      <c r="I269">
        <v>4.0645483784774106</v>
      </c>
      <c r="J269">
        <v>1.061370923626952</v>
      </c>
      <c r="K269">
        <v>373.62130235588592</v>
      </c>
      <c r="L269">
        <v>2.8606066234499958</v>
      </c>
      <c r="M269">
        <v>0.76858565381657118</v>
      </c>
    </row>
    <row r="270" spans="1:13" x14ac:dyDescent="0.35">
      <c r="A270" s="5">
        <v>45833</v>
      </c>
      <c r="B270">
        <v>346.84635821947597</v>
      </c>
      <c r="C270">
        <v>3.1651402281518131</v>
      </c>
      <c r="D270">
        <v>0.91673101471781726</v>
      </c>
      <c r="E270">
        <v>455.77882286152629</v>
      </c>
      <c r="F270">
        <v>13.47180486847469</v>
      </c>
      <c r="G270">
        <v>2.912729937378725</v>
      </c>
      <c r="H270">
        <v>382.8736264732749</v>
      </c>
      <c r="I270">
        <v>1.953222386016648</v>
      </c>
      <c r="J270">
        <v>0.51145264504966459</v>
      </c>
      <c r="K270">
        <v>373.76436940035308</v>
      </c>
      <c r="L270">
        <v>3.0036736679172118</v>
      </c>
      <c r="M270">
        <v>0.80686972368928656</v>
      </c>
    </row>
    <row r="271" spans="1:13" x14ac:dyDescent="0.35">
      <c r="A271" s="5">
        <v>45834</v>
      </c>
      <c r="B271">
        <v>346.7951552118729</v>
      </c>
      <c r="C271">
        <v>3.1139372205487348</v>
      </c>
      <c r="D271">
        <v>0.90196778380781595</v>
      </c>
      <c r="E271">
        <v>456.83669804278571</v>
      </c>
      <c r="F271">
        <v>13.76819116896036</v>
      </c>
      <c r="G271">
        <v>2.9690691808888512</v>
      </c>
      <c r="H271">
        <v>381.68841577817301</v>
      </c>
      <c r="I271">
        <v>0.76801169091470456</v>
      </c>
      <c r="J271">
        <v>0.20141694428612189</v>
      </c>
      <c r="K271">
        <v>373.20794093891828</v>
      </c>
      <c r="L271">
        <v>2.4472452064824779</v>
      </c>
      <c r="M271">
        <v>0.65788934797893561</v>
      </c>
    </row>
    <row r="272" spans="1:13" x14ac:dyDescent="0.35">
      <c r="A272" s="5">
        <v>45835</v>
      </c>
      <c r="B272">
        <v>347.01789711102788</v>
      </c>
      <c r="C272">
        <v>3.3366791197037742</v>
      </c>
      <c r="D272">
        <v>0.96617443015235926</v>
      </c>
      <c r="E272">
        <v>459.23794422272698</v>
      </c>
      <c r="F272">
        <v>10.01268350727395</v>
      </c>
      <c r="G272">
        <v>2.1567704352496242</v>
      </c>
      <c r="H272">
        <v>385.1337518815667</v>
      </c>
      <c r="I272">
        <v>4.2133477943084472</v>
      </c>
      <c r="J272">
        <v>1.100013037323671</v>
      </c>
      <c r="K272">
        <v>372.66609742816689</v>
      </c>
      <c r="L272">
        <v>1.90540169573103</v>
      </c>
      <c r="M272">
        <v>0.51259968385869092</v>
      </c>
    </row>
    <row r="273" spans="1:13" x14ac:dyDescent="0.35">
      <c r="A273" s="5">
        <v>45838</v>
      </c>
      <c r="B273">
        <v>347.36169124197153</v>
      </c>
      <c r="C273">
        <v>3.680473250647367</v>
      </c>
      <c r="D273">
        <v>1.065193840055694</v>
      </c>
      <c r="E273">
        <v>461.77858564122857</v>
      </c>
      <c r="F273">
        <v>7.4720420887723549</v>
      </c>
      <c r="G273">
        <v>1.605114422074104</v>
      </c>
      <c r="H273">
        <v>383.82850827063908</v>
      </c>
      <c r="I273">
        <v>2.908104183380829</v>
      </c>
      <c r="J273">
        <v>0.76053829861999245</v>
      </c>
      <c r="K273">
        <v>372.96842916728792</v>
      </c>
      <c r="L273">
        <v>2.207733434852059</v>
      </c>
      <c r="M273">
        <v>0.59369288116818686</v>
      </c>
    </row>
    <row r="274" spans="1:13" x14ac:dyDescent="0.35">
      <c r="A274" s="5">
        <v>45839</v>
      </c>
      <c r="B274">
        <v>346.72445861857528</v>
      </c>
      <c r="C274">
        <v>3.043240627251123</v>
      </c>
      <c r="D274">
        <v>0.8815804186878502</v>
      </c>
      <c r="E274">
        <v>461.35731797834768</v>
      </c>
      <c r="F274">
        <v>7.8933097516532484</v>
      </c>
      <c r="G274">
        <v>1.696377037839518</v>
      </c>
      <c r="H274">
        <v>383.58085351197002</v>
      </c>
      <c r="I274">
        <v>4.3348329329795661</v>
      </c>
      <c r="J274">
        <v>1.13651814853672</v>
      </c>
      <c r="K274">
        <v>373.38291934770149</v>
      </c>
      <c r="L274">
        <v>2.6222236152656819</v>
      </c>
      <c r="M274">
        <v>0.70476278022846151</v>
      </c>
    </row>
    <row r="275" spans="1:13" x14ac:dyDescent="0.35">
      <c r="A275" s="5">
        <v>45840</v>
      </c>
      <c r="B275">
        <v>346.93971780248728</v>
      </c>
      <c r="C275">
        <v>3.2584998111631762</v>
      </c>
      <c r="D275">
        <v>0.94364350753942794</v>
      </c>
      <c r="E275">
        <v>460.12879310030019</v>
      </c>
      <c r="F275">
        <v>9.1218346297007429</v>
      </c>
      <c r="G275">
        <v>1.9629947522512059</v>
      </c>
      <c r="H275">
        <v>382.66268034314533</v>
      </c>
      <c r="I275">
        <v>5.0984685857279706</v>
      </c>
      <c r="J275">
        <v>1.3413018241542389</v>
      </c>
      <c r="K275">
        <v>373.62671826107731</v>
      </c>
      <c r="L275">
        <v>2.8660225286413952</v>
      </c>
      <c r="M275">
        <v>0.77003519263327214</v>
      </c>
    </row>
    <row r="276" spans="1:13" x14ac:dyDescent="0.35">
      <c r="A276" s="5">
        <v>45841</v>
      </c>
      <c r="B276">
        <v>346.17692389028878</v>
      </c>
      <c r="C276">
        <v>2.1255590841016101</v>
      </c>
      <c r="D276">
        <v>0.61590030977020982</v>
      </c>
      <c r="E276">
        <v>459.56233618168471</v>
      </c>
      <c r="F276">
        <v>9.6882915483162719</v>
      </c>
      <c r="G276">
        <v>2.0861663057574318</v>
      </c>
      <c r="H276">
        <v>381.12615893466102</v>
      </c>
      <c r="I276">
        <v>5.2512809832340963</v>
      </c>
      <c r="J276">
        <v>1.3873906975967041</v>
      </c>
      <c r="K276">
        <v>374.65720833532941</v>
      </c>
      <c r="L276">
        <v>3.8965126028935519</v>
      </c>
      <c r="M276">
        <v>1.0454572077301001</v>
      </c>
    </row>
    <row r="277" spans="1:13" x14ac:dyDescent="0.35">
      <c r="A277" s="5">
        <v>45842</v>
      </c>
      <c r="B277">
        <v>346.16430037533121</v>
      </c>
      <c r="C277">
        <v>1.3738340410661181</v>
      </c>
      <c r="D277">
        <v>0.39766251200739727</v>
      </c>
      <c r="E277">
        <v>459.83550027138421</v>
      </c>
      <c r="F277">
        <v>9.4151274586167801</v>
      </c>
      <c r="G277">
        <v>2.0267501956724372</v>
      </c>
      <c r="H277">
        <v>378.55552785031131</v>
      </c>
      <c r="I277">
        <v>4.3776106103970847</v>
      </c>
      <c r="J277">
        <v>1.1631237163568211</v>
      </c>
      <c r="K277">
        <v>375.0886016876803</v>
      </c>
      <c r="L277">
        <v>4.3279059552444323</v>
      </c>
      <c r="M277">
        <v>1.160530946456503</v>
      </c>
    </row>
    <row r="278" spans="1:13" x14ac:dyDescent="0.35">
      <c r="A278" s="5">
        <v>45845</v>
      </c>
      <c r="B278">
        <v>346.29695082953577</v>
      </c>
      <c r="C278">
        <v>1.8758370022908371</v>
      </c>
      <c r="D278">
        <v>0.54315562261222783</v>
      </c>
      <c r="E278">
        <v>456.76009732445641</v>
      </c>
      <c r="F278">
        <v>12.490530405544581</v>
      </c>
      <c r="G278">
        <v>2.6977075032926878</v>
      </c>
      <c r="H278">
        <v>376.49709122615411</v>
      </c>
      <c r="I278">
        <v>2.3191739862399459</v>
      </c>
      <c r="J278">
        <v>0.61789028809656266</v>
      </c>
      <c r="K278">
        <v>374.56905470510378</v>
      </c>
      <c r="L278">
        <v>3.8083589726679179</v>
      </c>
      <c r="M278">
        <v>1.0219259248493029</v>
      </c>
    </row>
    <row r="279" spans="1:13" x14ac:dyDescent="0.35">
      <c r="A279" s="5">
        <v>45846</v>
      </c>
      <c r="B279">
        <v>346.37753098811561</v>
      </c>
      <c r="C279">
        <v>2.6963129967914479</v>
      </c>
      <c r="D279">
        <v>0.78147346172456988</v>
      </c>
      <c r="E279">
        <v>456.72251392293498</v>
      </c>
      <c r="F279">
        <v>12.528113807065949</v>
      </c>
      <c r="G279">
        <v>2.7059345986433798</v>
      </c>
      <c r="H279">
        <v>377.06820467606701</v>
      </c>
      <c r="I279">
        <v>2.8902874361527888</v>
      </c>
      <c r="J279">
        <v>0.76946485361718331</v>
      </c>
      <c r="K279">
        <v>373.46130062748108</v>
      </c>
      <c r="L279">
        <v>2.7006048950452168</v>
      </c>
      <c r="M279">
        <v>0.72575250617536435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dataset_summary</vt:lpstr>
      <vt:lpstr>VaR_result</vt:lpstr>
      <vt:lpstr>statistic</vt:lpstr>
      <vt:lpstr>best_curves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Aguinaldo Flor</dc:creator>
  <cp:lastModifiedBy>Aguinaldo Flor</cp:lastModifiedBy>
  <dcterms:created xsi:type="dcterms:W3CDTF">2025-05-03T18:53:58Z</dcterms:created>
  <dcterms:modified xsi:type="dcterms:W3CDTF">2025-10-05T00:00:06Z</dcterms:modified>
</cp:coreProperties>
</file>